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enario_Summary" sheetId="2" state="visible" r:id="rId4"/>
    <sheet name="Inputs" sheetId="3" state="visible" r:id="rId5"/>
    <sheet name="Inputs_Yearly" sheetId="4" state="visible" r:id="rId6"/>
    <sheet name="FM_Conservative" sheetId="5" state="visible" r:id="rId7"/>
    <sheet name="FM_Base" sheetId="6" state="visible" r:id="rId8"/>
    <sheet name="FM_Upside" sheetId="7" state="visible" r:id="rId9"/>
    <sheet name="Household" sheetId="8" state="visible" r:id="rId10"/>
    <sheet name="Unit_Economics" sheetId="9" state="visible" r:id="rId11"/>
    <sheet name="Market" sheetId="10" state="visible" r:id="rId12"/>
    <sheet name="Sensitivity" sheetId="11" state="visible" r:id="rId13"/>
    <sheet name="Budget_24M" sheetId="12" state="visible" r:id="rId14"/>
    <sheet name="Sourc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<sst xmlns="http://schemas.openxmlformats.org/spreadsheetml/2006/main" count="2125" uniqueCount="951">
  <si>
    <t xml:space="preserve">MH Robotics — Seed + TIPS IR Financial Model (Draft v5, 2026-10)</t>
  </si>
  <si>
    <r>
      <rPr>
        <sz val="10"/>
        <color rgb="FF000000"/>
        <rFont val="WenQuanYi Zen Hei"/>
        <family val="2"/>
      </rPr>
      <t xml:space="preserve">목적</t>
    </r>
    <r>
      <rPr>
        <sz val="10"/>
        <color rgb="FF000000"/>
        <rFont val="Arial"/>
        <family val="0"/>
        <charset val="1"/>
      </rPr>
      <t xml:space="preserve">: Seed · TIPS IR </t>
    </r>
    <r>
      <rPr>
        <sz val="10"/>
        <color rgb="FF000000"/>
        <rFont val="WenQuanYi Zen Hei"/>
        <family val="2"/>
      </rPr>
      <t xml:space="preserve">덱의 모든 사업 수치를 하나의 수식 모델로 관리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단위는 별도 표기가 없으면 만원 </t>
    </r>
    <r>
      <rPr>
        <sz val="10"/>
        <color rgb="FF000000"/>
        <rFont val="Arial"/>
        <family val="0"/>
        <charset val="1"/>
      </rPr>
      <t xml:space="preserve">(KRW 10,000). </t>
    </r>
    <r>
      <rPr>
        <sz val="10"/>
        <color rgb="FF000000"/>
        <rFont val="WenQuanYi Zen Hei"/>
        <family val="2"/>
      </rPr>
      <t xml:space="preserve">억원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만원 </t>
    </r>
    <r>
      <rPr>
        <sz val="10"/>
        <color rgb="FF000000"/>
        <rFont val="Arial"/>
        <family val="0"/>
        <charset val="1"/>
      </rPr>
      <t xml:space="preserve">/ 10,000.</t>
    </r>
  </si>
  <si>
    <r>
      <rPr>
        <b val="true"/>
        <sz val="10"/>
        <rFont val="WenQuanYi Zen Hei"/>
        <family val="2"/>
      </rPr>
      <t xml:space="preserve">주의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실적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계약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고객 </t>
    </r>
    <r>
      <rPr>
        <b val="true"/>
        <sz val="10"/>
        <rFont val="Arial"/>
        <family val="0"/>
        <charset val="1"/>
      </rPr>
      <t xml:space="preserve">· Partner </t>
    </r>
    <r>
      <rPr>
        <b val="true"/>
        <sz val="10"/>
        <rFont val="WenQuanYi Zen Hei"/>
        <family val="2"/>
      </rPr>
      <t xml:space="preserve">데이터 없음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WenQuanYi Zen Hei"/>
        <family val="2"/>
      </rPr>
      <t xml:space="preserve">모든 수치는 </t>
    </r>
    <r>
      <rPr>
        <b val="true"/>
        <sz val="10"/>
        <rFont val="Arial"/>
        <family val="0"/>
        <charset val="1"/>
      </rPr>
      <t xml:space="preserve">FACT / DERIVED / ASSUMPTION / TARGET Tag</t>
    </r>
    <r>
      <rPr>
        <b val="true"/>
        <sz val="10"/>
        <rFont val="WenQuanYi Zen Hei"/>
        <family val="2"/>
      </rPr>
      <t xml:space="preserve">로 구분</t>
    </r>
    <r>
      <rPr>
        <b val="true"/>
        <sz val="10"/>
        <rFont val="Arial"/>
        <family val="0"/>
        <charset val="1"/>
      </rPr>
      <t xml:space="preserve">.</t>
    </r>
  </si>
  <si>
    <t xml:space="preserve">Color code</t>
  </si>
  <si>
    <r>
      <rPr>
        <sz val="10"/>
        <color rgb="FF000000"/>
        <rFont val="WenQuanYi Zen Hei"/>
        <family val="2"/>
      </rPr>
      <t xml:space="preserve">  파란 글자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입력값 </t>
    </r>
    <r>
      <rPr>
        <sz val="10"/>
        <color rgb="FF000000"/>
        <rFont val="Arial"/>
        <family val="0"/>
        <charset val="1"/>
      </rPr>
      <t xml:space="preserve">(Inputs, Inputs_Yearly, Budget_24M </t>
    </r>
    <r>
      <rPr>
        <sz val="10"/>
        <color rgb="FF000000"/>
        <rFont val="WenQuanYi Zen Hei"/>
        <family val="2"/>
      </rPr>
      <t xml:space="preserve">팀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지출 표에서만 수정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검은 글자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수식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녹색 글자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다른 </t>
    </r>
    <r>
      <rPr>
        <sz val="10"/>
        <color rgb="FF000000"/>
        <rFont val="Arial"/>
        <family val="0"/>
        <charset val="1"/>
      </rPr>
      <t xml:space="preserve">Sheet </t>
    </r>
    <r>
      <rPr>
        <sz val="10"/>
        <color rgb="FF000000"/>
        <rFont val="WenQuanYi Zen Hei"/>
        <family val="2"/>
      </rPr>
      <t xml:space="preserve">참조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노란 바탕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핵심 가정 </t>
    </r>
    <r>
      <rPr>
        <sz val="10"/>
        <color rgb="FF000000"/>
        <rFont val="Arial"/>
        <family val="0"/>
        <charset val="1"/>
      </rPr>
      <t xml:space="preserve">(WTP · BOM · Volume)</t>
    </r>
  </si>
  <si>
    <t xml:space="preserve">Tag</t>
  </si>
  <si>
    <r>
      <rPr>
        <sz val="10"/>
        <color rgb="FF000000"/>
        <rFont val="Arial"/>
        <family val="0"/>
        <charset val="1"/>
      </rPr>
      <t xml:space="preserve">  FACT = </t>
    </r>
    <r>
      <rPr>
        <sz val="10"/>
        <color rgb="FF000000"/>
        <rFont val="WenQuanYi Zen Hei"/>
        <family val="2"/>
      </rPr>
      <t xml:space="preserve">공식 통계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공개자료 확인값 </t>
    </r>
    <r>
      <rPr>
        <sz val="10"/>
        <color rgb="FF000000"/>
        <rFont val="Arial"/>
        <family val="0"/>
        <charset val="1"/>
      </rPr>
      <t xml:space="preserve">· DERIVED = FACT </t>
    </r>
    <r>
      <rPr>
        <sz val="10"/>
        <color rgb="FF000000"/>
        <rFont val="WenQuanYi Zen Hei"/>
        <family val="2"/>
      </rPr>
      <t xml:space="preserve">또는 가정으로 계산한 값 </t>
    </r>
    <r>
      <rPr>
        <sz val="10"/>
        <color rgb="FF000000"/>
        <rFont val="Arial"/>
        <family val="0"/>
        <charset val="1"/>
      </rPr>
      <t xml:space="preserve">· ASSUMPTION = </t>
    </r>
    <r>
      <rPr>
        <sz val="10"/>
        <color rgb="FF000000"/>
        <rFont val="WenQuanYi Zen Hei"/>
        <family val="2"/>
      </rPr>
      <t xml:space="preserve">현재 사업가설 </t>
    </r>
    <r>
      <rPr>
        <sz val="10"/>
        <color rgb="FF000000"/>
        <rFont val="Arial"/>
        <family val="0"/>
        <charset val="1"/>
      </rPr>
      <t xml:space="preserve">· TARGET = 24</t>
    </r>
    <r>
      <rPr>
        <sz val="10"/>
        <color rgb="FF000000"/>
        <rFont val="WenQuanYi Zen Hei"/>
        <family val="2"/>
      </rPr>
      <t xml:space="preserve">개월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이후 목표</t>
    </r>
  </si>
  <si>
    <t xml:space="preserve">Sheets</t>
  </si>
  <si>
    <r>
      <rPr>
        <sz val="10"/>
        <color rgb="FF000000"/>
        <rFont val="Arial"/>
        <family val="0"/>
        <charset val="1"/>
      </rPr>
      <t xml:space="preserve">  Inputs: </t>
    </r>
    <r>
      <rPr>
        <sz val="10"/>
        <color rgb="FF000000"/>
        <rFont val="WenQuanYi Zen Hei"/>
        <family val="2"/>
      </rPr>
      <t xml:space="preserve">단일값 가정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시나리오별 </t>
    </r>
    <r>
      <rPr>
        <sz val="10"/>
        <color rgb="FF000000"/>
        <rFont val="Arial"/>
        <family val="0"/>
        <charset val="1"/>
      </rPr>
      <t xml:space="preserve">Conservative / Base / Upside 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</si>
  <si>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Inputs_Yearly: </t>
    </r>
    <r>
      <rPr>
        <sz val="10"/>
        <color rgb="FF000000"/>
        <rFont val="WenQuanYi Zen Hei"/>
        <family val="2"/>
      </rPr>
      <t xml:space="preserve">연도별 가정 </t>
    </r>
    <r>
      <rPr>
        <sz val="10"/>
        <color rgb="FF000000"/>
        <rFont val="Arial"/>
        <family val="0"/>
        <charset val="1"/>
      </rPr>
      <t xml:space="preserve">(Volume, BOM, Interface </t>
    </r>
    <r>
      <rPr>
        <sz val="10"/>
        <color rgb="FF000000"/>
        <rFont val="WenQuanYi Zen Hei"/>
        <family val="2"/>
      </rPr>
      <t xml:space="preserve">표준부품 사용률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인원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지출 등</t>
    </r>
    <r>
      <rPr>
        <sz val="10"/>
        <color rgb="FF000000"/>
        <rFont val="Arial"/>
        <family val="0"/>
        <charset val="1"/>
      </rPr>
      <t xml:space="preserve">). Y1~Y2 </t>
    </r>
    <r>
      <rPr>
        <sz val="10"/>
        <color rgb="FF000000"/>
        <rFont val="WenQuanYi Zen Hei"/>
        <family val="2"/>
      </rPr>
      <t xml:space="preserve">지출 </t>
    </r>
    <r>
      <rPr>
        <sz val="10"/>
        <color rgb="FF000000"/>
        <rFont val="Arial"/>
        <family val="0"/>
        <charset val="1"/>
      </rPr>
      <t xml:space="preserve">= Budget_24M </t>
    </r>
    <r>
      <rPr>
        <sz val="10"/>
        <color rgb="FF000000"/>
        <rFont val="WenQuanYi Zen Hei"/>
        <family val="2"/>
      </rPr>
      <t xml:space="preserve">팀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지출 계획과 같은 값</t>
    </r>
  </si>
  <si>
    <r>
      <rPr>
        <sz val="10"/>
        <color rgb="FF000000"/>
        <rFont val="Arial"/>
        <family val="0"/>
        <charset val="1"/>
      </rPr>
      <t xml:space="preserve">  FM_Conservative / FM_Base / FM_Upside: 5</t>
    </r>
    <r>
      <rPr>
        <sz val="10"/>
        <color rgb="FF000000"/>
        <rFont val="WenQuanYi Zen Hei"/>
        <family val="2"/>
      </rPr>
      <t xml:space="preserve">개년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WenQuanYi Zen Hei"/>
        <family val="2"/>
      </rPr>
      <t xml:space="preserve">손익 </t>
    </r>
    <r>
      <rPr>
        <sz val="10"/>
        <color rgb="FF000000"/>
        <rFont val="Arial"/>
        <family val="0"/>
        <charset val="1"/>
      </rPr>
      <t xml:space="preserve">(INSTALL · OPERATE · EXPAND </t>
    </r>
    <r>
      <rPr>
        <sz val="10"/>
        <color rgb="FF000000"/>
        <rFont val="WenQuanYi Zen Hei"/>
        <family val="2"/>
      </rPr>
      <t xml:space="preserve">매출층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채널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</si>
  <si>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Scenario_Summary: 3</t>
    </r>
    <r>
      <rPr>
        <sz val="10"/>
        <color rgb="FF000000"/>
        <rFont val="WenQuanYi Zen Hei"/>
        <family val="2"/>
      </rPr>
      <t xml:space="preserve">개 시나리오 요약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</si>
  <si>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Household: </t>
    </r>
    <r>
      <rPr>
        <sz val="10"/>
        <color rgb="FF000000"/>
        <rFont val="WenQuanYi Zen Hei"/>
        <family val="2"/>
      </rPr>
      <t xml:space="preserve">대표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세대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년 경제성 </t>
    </r>
    <r>
      <rPr>
        <sz val="10"/>
        <color rgb="FF000000"/>
        <rFont val="Arial"/>
        <family val="0"/>
        <charset val="1"/>
      </rPr>
      <t xml:space="preserve">(Remodeling </t>
    </r>
    <r>
      <rPr>
        <sz val="10"/>
        <color rgb="FF000000"/>
        <rFont val="WenQuanYi Zen Hei"/>
        <family val="2"/>
      </rPr>
      <t xml:space="preserve">구매 </t>
    </r>
    <r>
      <rPr>
        <sz val="10"/>
        <color rgb="FF000000"/>
        <rFont val="Arial"/>
        <family val="0"/>
        <charset val="1"/>
      </rPr>
      <t xml:space="preserve">· Rental, Retrofit, New-build)</t>
    </r>
  </si>
  <si>
    <r>
      <rPr>
        <sz val="10"/>
        <color rgb="FF000000"/>
        <rFont val="Arial"/>
        <family val="0"/>
        <charset val="1"/>
      </rPr>
      <t xml:space="preserve">  Unit_Economics: Rental </t>
    </r>
    <r>
      <rPr>
        <sz val="10"/>
        <color rgb="FF000000"/>
        <rFont val="WenQuanYi Zen Hei"/>
        <family val="2"/>
      </rPr>
      <t xml:space="preserve">월 원가 </t>
    </r>
    <r>
      <rPr>
        <sz val="10"/>
        <color rgb="FF000000"/>
        <rFont val="Arial"/>
        <family val="0"/>
        <charset val="1"/>
      </rPr>
      <t xml:space="preserve">Build-up · Payback, Care · Consumables </t>
    </r>
    <r>
      <rPr>
        <sz val="10"/>
        <color rgb="FF000000"/>
        <rFont val="WenQuanYi Zen Hei"/>
        <family val="2"/>
      </rPr>
      <t xml:space="preserve">단위 경제성</t>
    </r>
    <r>
      <rPr>
        <sz val="10"/>
        <color rgb="FF000000"/>
        <rFont val="Arial"/>
        <family val="0"/>
        <charset val="1"/>
      </rPr>
      <t xml:space="preserve">, BOM </t>
    </r>
    <r>
      <rPr>
        <sz val="10"/>
        <color rgb="FF000000"/>
        <rFont val="WenQuanYi Zen Hei"/>
        <family val="2"/>
      </rPr>
      <t xml:space="preserve">구성</t>
    </r>
  </si>
  <si>
    <r>
      <rPr>
        <sz val="10"/>
        <color rgb="FF000000"/>
        <rFont val="Arial"/>
        <family val="0"/>
        <charset val="1"/>
      </rPr>
      <t xml:space="preserve">  Market: Bottom-up 4</t>
    </r>
    <r>
      <rPr>
        <sz val="10"/>
        <color rgb="FF000000"/>
        <rFont val="WenQuanYi Zen Hei"/>
        <family val="2"/>
      </rPr>
      <t xml:space="preserve">개 시장 </t>
    </r>
    <r>
      <rPr>
        <sz val="10"/>
        <color rgb="FF000000"/>
        <rFont val="Arial"/>
        <family val="0"/>
        <charset val="1"/>
      </rPr>
      <t xml:space="preserve">(Remodeling · Retrofit · New-build · Recurring)</t>
    </r>
  </si>
  <si>
    <r>
      <rPr>
        <sz val="10"/>
        <color rgb="FF000000"/>
        <rFont val="Arial"/>
        <family val="0"/>
        <charset val="1"/>
      </rPr>
      <t xml:space="preserve">  Sensitivity: </t>
    </r>
    <r>
      <rPr>
        <sz val="10"/>
        <color rgb="FF000000"/>
        <rFont val="WenQuanYi Zen Hei"/>
        <family val="2"/>
      </rPr>
      <t xml:space="preserve">세대 </t>
    </r>
    <r>
      <rPr>
        <sz val="10"/>
        <color rgb="FF000000"/>
        <rFont val="Arial"/>
        <family val="0"/>
        <charset val="1"/>
      </rPr>
      <t xml:space="preserve">Contribution </t>
    </r>
    <r>
      <rPr>
        <sz val="10"/>
        <color rgb="FF000000"/>
        <rFont val="WenQuanYi Zen Hei"/>
        <family val="2"/>
      </rPr>
      <t xml:space="preserve">민감도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수식</t>
    </r>
    <r>
      <rPr>
        <sz val="10"/>
        <color rgb="FF000000"/>
        <rFont val="Arial"/>
        <family val="0"/>
        <charset val="1"/>
      </rPr>
      <t xml:space="preserve">) + </t>
    </r>
    <r>
      <rPr>
        <sz val="10"/>
        <color rgb="FF000000"/>
        <rFont val="WenQuanYi Zen Hei"/>
        <family val="2"/>
      </rPr>
      <t xml:space="preserve">회사 </t>
    </r>
    <r>
      <rPr>
        <sz val="10"/>
        <color rgb="FF000000"/>
        <rFont val="Arial"/>
        <family val="0"/>
        <charset val="1"/>
      </rPr>
      <t xml:space="preserve">Y5 Contribution </t>
    </r>
    <r>
      <rPr>
        <sz val="10"/>
        <color rgb="FF000000"/>
        <rFont val="WenQuanYi Zen Hei"/>
        <family val="2"/>
      </rPr>
      <t xml:space="preserve">민감도 </t>
    </r>
    <r>
      <rPr>
        <sz val="10"/>
        <color rgb="FF000000"/>
        <rFont val="Arial"/>
        <family val="0"/>
        <charset val="1"/>
      </rPr>
      <t xml:space="preserve">(model.py </t>
    </r>
    <r>
      <rPr>
        <sz val="10"/>
        <color rgb="FF000000"/>
        <rFont val="WenQuanYi Zen Hei"/>
        <family val="2"/>
      </rPr>
      <t xml:space="preserve">정적 결과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</si>
  <si>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Budget_24M: 24</t>
    </r>
    <r>
      <rPr>
        <sz val="10"/>
        <color rgb="FF000000"/>
        <rFont val="WenQuanYi Zen Hei"/>
        <family val="2"/>
      </rPr>
      <t xml:space="preserve">개월 팀 계획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사용처 </t>
    </r>
    <r>
      <rPr>
        <sz val="10"/>
        <color rgb="FF000000"/>
        <rFont val="Arial"/>
        <family val="0"/>
        <charset val="1"/>
      </rPr>
      <t xml:space="preserve">· TIPS </t>
    </r>
    <r>
      <rPr>
        <sz val="10"/>
        <color rgb="FF000000"/>
        <rFont val="WenQuanYi Zen Hei"/>
        <family val="2"/>
      </rPr>
      <t xml:space="preserve">과제 편성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재원 </t>
    </r>
    <r>
      <rPr>
        <sz val="10"/>
        <color rgb="FF000000"/>
        <rFont val="Arial"/>
        <family val="0"/>
        <charset val="1"/>
      </rPr>
      <t xml:space="preserve">· Seed </t>
    </r>
    <r>
      <rPr>
        <sz val="10"/>
        <color rgb="FF000000"/>
        <rFont val="WenQuanYi Zen Hei"/>
        <family val="2"/>
      </rPr>
      <t xml:space="preserve">범위</t>
    </r>
  </si>
  <si>
    <r>
      <rPr>
        <sz val="10"/>
        <color rgb="FF000000"/>
        <rFont val="Arial"/>
        <family val="0"/>
        <charset val="1"/>
      </rPr>
      <t xml:space="preserve">  Sources: FACT </t>
    </r>
    <r>
      <rPr>
        <sz val="10"/>
        <color rgb="FF000000"/>
        <rFont val="WenQuanYi Zen Hei"/>
        <family val="2"/>
      </rPr>
      <t xml:space="preserve">출처</t>
    </r>
  </si>
  <si>
    <r>
      <rPr>
        <sz val="10"/>
        <color rgb="FF000000"/>
        <rFont val="Arial"/>
        <family val="0"/>
        <charset val="1"/>
      </rPr>
      <t xml:space="preserve">Year </t>
    </r>
    <r>
      <rPr>
        <sz val="10"/>
        <color rgb="FF000000"/>
        <rFont val="WenQuanYi Zen Hei"/>
        <family val="2"/>
      </rPr>
      <t xml:space="preserve">정의</t>
    </r>
    <r>
      <rPr>
        <sz val="10"/>
        <color rgb="FF000000"/>
        <rFont val="Arial"/>
        <family val="0"/>
        <charset val="1"/>
      </rPr>
      <t xml:space="preserve">: Y1 = M1~M12 (Seed + TIPS 1</t>
    </r>
    <r>
      <rPr>
        <sz val="10"/>
        <color rgb="FF000000"/>
        <rFont val="WenQuanYi Zen Hei"/>
        <family val="2"/>
      </rPr>
      <t xml:space="preserve">차년도</t>
    </r>
    <r>
      <rPr>
        <sz val="10"/>
        <color rgb="FF000000"/>
        <rFont val="Arial"/>
        <family val="0"/>
        <charset val="1"/>
      </rPr>
      <t xml:space="preserve">), Y2 = M13~M24, Y3 = Series A </t>
    </r>
    <r>
      <rPr>
        <sz val="10"/>
        <color rgb="FF000000"/>
        <rFont val="WenQuanYi Zen Hei"/>
        <family val="2"/>
      </rPr>
      <t xml:space="preserve">이후 첫 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Option</t>
    </r>
    <r>
      <rPr>
        <sz val="10"/>
        <color rgb="FF000000"/>
        <rFont val="WenQuanYi Zen Hei"/>
        <family val="2"/>
      </rPr>
      <t xml:space="preserve">은 계약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후 입주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설치로 인식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</si>
  <si>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재현</t>
    </r>
    <r>
      <rPr>
        <sz val="10"/>
        <color rgb="FF000000"/>
        <rFont val="Arial"/>
        <family val="0"/>
        <charset val="1"/>
      </rPr>
      <t xml:space="preserve">: python3 MH/source/model.py → python3 MH/source/xlsx_model.py (LibreOffice </t>
    </r>
    <r>
      <rPr>
        <sz val="10"/>
        <color rgb="FF000000"/>
        <rFont val="WenQuanYi Zen Hei"/>
        <family val="2"/>
      </rPr>
      <t xml:space="preserve">재계산 후 </t>
    </r>
    <r>
      <rPr>
        <sz val="10"/>
        <color rgb="FF000000"/>
        <rFont val="Arial"/>
        <family val="0"/>
        <charset val="1"/>
      </rPr>
      <t xml:space="preserve">check_xlsx.py</t>
    </r>
    <r>
      <rPr>
        <sz val="10"/>
        <color rgb="FF000000"/>
        <rFont val="WenQuanYi Zen Hei"/>
        <family val="2"/>
      </rPr>
      <t xml:space="preserve">로 </t>
    </r>
    <r>
      <rPr>
        <sz val="10"/>
        <color rgb="FF000000"/>
        <rFont val="Arial"/>
        <family val="0"/>
        <charset val="1"/>
      </rPr>
      <t xml:space="preserve">model.py</t>
    </r>
    <r>
      <rPr>
        <sz val="10"/>
        <color rgb="FF000000"/>
        <rFont val="WenQuanYi Zen Hei"/>
        <family val="2"/>
      </rPr>
      <t xml:space="preserve">와 교차검증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</si>
  <si>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Scenario Summary (</t>
    </r>
    <r>
      <rPr>
        <b val="true"/>
        <sz val="14"/>
        <rFont val="WenQuanYi Zen Hei"/>
        <family val="2"/>
      </rPr>
      <t xml:space="preserve">억원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세대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대</t>
    </r>
    <r>
      <rPr>
        <b val="true"/>
        <sz val="14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</si>
  <si>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각 셀은 </t>
    </r>
    <r>
      <rPr>
        <sz val="11"/>
        <color theme="1"/>
        <rFont val="Calibri"/>
        <family val="2"/>
        <charset val="1"/>
      </rPr>
      <t xml:space="preserve">FM Sheet </t>
    </r>
    <r>
      <rPr>
        <sz val="11"/>
        <color theme="1"/>
        <rFont val="WenQuanYi Zen Hei"/>
        <family val="2"/>
      </rPr>
      <t xml:space="preserve">참조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억원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/ 10,000. Upside</t>
    </r>
    <r>
      <rPr>
        <sz val="11"/>
        <color theme="1"/>
        <rFont val="WenQuanYi Zen Hei"/>
        <family val="2"/>
      </rPr>
      <t xml:space="preserve">는 가격 인상 없이 </t>
    </r>
    <r>
      <rPr>
        <sz val="11"/>
        <color theme="1"/>
        <rFont val="Calibri"/>
        <family val="2"/>
        <charset val="1"/>
      </rPr>
      <t xml:space="preserve">Partner·</t>
    </r>
    <r>
      <rPr>
        <sz val="11"/>
        <color theme="1"/>
        <rFont val="WenQuanYi Zen Hei"/>
        <family val="2"/>
      </rPr>
      <t xml:space="preserve">표준화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설치원가</t>
    </r>
    <r>
      <rPr>
        <sz val="11"/>
        <color theme="1"/>
        <rFont val="Calibri"/>
        <family val="2"/>
        <charset val="1"/>
      </rPr>
      <t xml:space="preserve">·Installed Base</t>
    </r>
    <r>
      <rPr>
        <sz val="11"/>
        <color theme="1"/>
        <rFont val="WenQuanYi Zen Hei"/>
        <family val="2"/>
      </rPr>
      <t xml:space="preserve">로 차이</t>
    </r>
    <r>
      <rPr>
        <sz val="11"/>
        <color theme="1"/>
        <rFont val="Calibri"/>
        <family val="2"/>
        <charset val="1"/>
      </rPr>
      <t xml:space="preserve">.</t>
    </r>
  </si>
  <si>
    <t xml:space="preserve">Conservative</t>
  </si>
  <si>
    <t xml:space="preserve">단위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</si>
  <si>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</si>
  <si>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</si>
  <si>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</si>
  <si>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</si>
  <si>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</si>
  <si>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매출</t>
  </si>
  <si>
    <t xml:space="preserve">억원</t>
  </si>
  <si>
    <t xml:space="preserve">매출총이익</t>
  </si>
  <si>
    <t xml:space="preserve">매출총이익률</t>
  </si>
  <si>
    <t xml:space="preserve">%</t>
  </si>
  <si>
    <t xml:space="preserve">Contribution</t>
  </si>
  <si>
    <t xml:space="preserve">Opex</t>
  </si>
  <si>
    <r>
      <rPr>
        <sz val="10"/>
        <color rgb="FF000000"/>
        <rFont val="WenQuanYi Zen Hei"/>
        <family val="2"/>
      </rPr>
      <t xml:space="preserve">영업이익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근사</t>
    </r>
    <r>
      <rPr>
        <sz val="10"/>
        <color rgb="FF000000"/>
        <rFont val="Arial"/>
        <family val="0"/>
        <charset val="1"/>
      </rPr>
      <t xml:space="preserve">)</t>
    </r>
  </si>
  <si>
    <t xml:space="preserve">누적 현금흐름</t>
  </si>
  <si>
    <r>
      <rPr>
        <sz val="10"/>
        <color rgb="FF000000"/>
        <rFont val="WenQuanYi Zen Hei"/>
        <family val="2"/>
      </rPr>
      <t xml:space="preserve">설치 세대 </t>
    </r>
    <r>
      <rPr>
        <sz val="10"/>
        <color rgb="FF000000"/>
        <rFont val="Arial"/>
        <family val="0"/>
        <charset val="1"/>
      </rPr>
      <t xml:space="preserve">(Remodeling + Retrofit + New-build)</t>
    </r>
  </si>
  <si>
    <t xml:space="preserve">세대</t>
  </si>
  <si>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설치</t>
    </r>
  </si>
  <si>
    <t xml:space="preserve">대</t>
  </si>
  <si>
    <r>
      <rPr>
        <sz val="10"/>
        <color rgb="FF000000"/>
        <rFont val="Arial"/>
        <family val="0"/>
        <charset val="1"/>
      </rPr>
      <t xml:space="preserve">Installed Robot (</t>
    </r>
    <r>
      <rPr>
        <sz val="10"/>
        <color rgb="FF000000"/>
        <rFont val="WenQuanYi Zen Hei"/>
        <family val="2"/>
      </rPr>
      <t xml:space="preserve">기말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</si>
  <si>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Backlog</t>
    </r>
  </si>
  <si>
    <r>
      <rPr>
        <sz val="10"/>
        <color rgb="FF000000"/>
        <rFont val="Arial"/>
        <family val="0"/>
        <charset val="1"/>
      </rPr>
      <t xml:space="preserve">OPERATE + EXPAND </t>
    </r>
    <r>
      <rPr>
        <sz val="10"/>
        <color rgb="FF000000"/>
        <rFont val="WenQuanYi Zen Hei"/>
        <family val="2"/>
      </rPr>
      <t xml:space="preserve">비중</t>
    </r>
  </si>
  <si>
    <t xml:space="preserve">Base</t>
  </si>
  <si>
    <t xml:space="preserve">Upside</t>
  </si>
  <si>
    <r>
      <rPr>
        <b val="true"/>
        <sz val="14"/>
        <rFont val="Arial"/>
        <family val="0"/>
        <charset val="1"/>
      </rPr>
      <t xml:space="preserve">Inputs — </t>
    </r>
    <r>
      <rPr>
        <b val="true"/>
        <sz val="14"/>
        <rFont val="WenQuanYi Zen Hei"/>
        <family val="2"/>
      </rPr>
      <t xml:space="preserve">단일값 가정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만원 기준</t>
    </r>
    <r>
      <rPr>
        <b val="true"/>
        <sz val="14"/>
        <rFont val="Arial"/>
        <family val="0"/>
        <charset val="1"/>
      </rPr>
      <t xml:space="preserve">)</t>
    </r>
  </si>
  <si>
    <t xml:space="preserve">Key</t>
  </si>
  <si>
    <t xml:space="preserve">항목</t>
  </si>
  <si>
    <t xml:space="preserve">Source / Note</t>
  </si>
  <si>
    <t xml:space="preserve">MARKET</t>
  </si>
  <si>
    <t xml:space="preserve">m_housing_total</t>
  </si>
  <si>
    <r>
      <rPr>
        <sz val="10"/>
        <color rgb="FF000000"/>
        <rFont val="WenQuanYi Zen Hei"/>
        <family val="2"/>
      </rPr>
      <t xml:space="preserve">총주택 </t>
    </r>
    <r>
      <rPr>
        <sz val="10"/>
        <color rgb="FF000000"/>
        <rFont val="Arial"/>
        <family val="0"/>
        <charset val="1"/>
      </rPr>
      <t xml:space="preserve">(2025.11.1 </t>
    </r>
    <r>
      <rPr>
        <sz val="10"/>
        <color rgb="FF000000"/>
        <rFont val="WenQuanYi Zen Hei"/>
        <family val="2"/>
      </rPr>
      <t xml:space="preserve">기준</t>
    </r>
    <r>
      <rPr>
        <sz val="10"/>
        <color rgb="FF000000"/>
        <rFont val="Arial"/>
        <family val="0"/>
        <charset val="1"/>
      </rPr>
      <t xml:space="preserve">)</t>
    </r>
  </si>
  <si>
    <t xml:space="preserve">천호</t>
  </si>
  <si>
    <t xml:space="preserve">FACT</t>
  </si>
  <si>
    <r>
      <rPr>
        <sz val="10"/>
        <color rgb="FF000000"/>
        <rFont val="WenQuanYi Zen Hei"/>
        <family val="2"/>
      </rPr>
      <t xml:space="preserve">국가데이터처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WenQuanYi Zen Hei"/>
        <family val="2"/>
      </rPr>
      <t xml:space="preserve">인구주택총조사 등록센서스 결과 </t>
    </r>
    <r>
      <rPr>
        <sz val="10"/>
        <color rgb="FF000000"/>
        <rFont val="Arial"/>
        <family val="0"/>
        <charset val="1"/>
      </rPr>
      <t xml:space="preserve">(2026.7.28 </t>
    </r>
    <r>
      <rPr>
        <sz val="10"/>
        <color rgb="FF000000"/>
        <rFont val="WenQuanYi Zen Hei"/>
        <family val="2"/>
      </rPr>
      <t xml:space="preserve">발표</t>
    </r>
    <r>
      <rPr>
        <sz val="10"/>
        <color rgb="FF000000"/>
        <rFont val="Arial"/>
        <family val="0"/>
        <charset val="1"/>
      </rPr>
      <t xml:space="preserve">)</t>
    </r>
  </si>
  <si>
    <t xml:space="preserve">m_apt_share</t>
  </si>
  <si>
    <r>
      <rPr>
        <sz val="10"/>
        <color rgb="FF000000"/>
        <rFont val="WenQuanYi Zen Hei"/>
        <family val="2"/>
      </rPr>
      <t xml:space="preserve">아파트 비중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총주택 대비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</si>
  <si>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국가데이터처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WenQuanYi Zen Hei"/>
        <family val="2"/>
      </rPr>
      <t xml:space="preserve">인구주택총조사</t>
    </r>
  </si>
  <si>
    <t xml:space="preserve">m_house_20y_share</t>
  </si>
  <si>
    <r>
      <rPr>
        <sz val="10"/>
        <color rgb="FF000000"/>
        <rFont val="WenQuanYi Zen Hei"/>
        <family val="2"/>
      </rPr>
      <t xml:space="preserve">준공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 이상 주택 비중</t>
    </r>
  </si>
  <si>
    <t xml:space="preserve">m_house_30y_share</t>
  </si>
  <si>
    <r>
      <rPr>
        <sz val="10"/>
        <color rgb="FF000000"/>
        <rFont val="WenQuanYi Zen Hei"/>
        <family val="2"/>
      </rPr>
      <t xml:space="preserve">준공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년 이상 주택 비중</t>
    </r>
  </si>
  <si>
    <t xml:space="preserve">m_apt_2023</t>
  </si>
  <si>
    <r>
      <rPr>
        <sz val="10"/>
        <color rgb="FF000000"/>
        <rFont val="WenQuanYi Zen Hei"/>
        <family val="2"/>
      </rPr>
      <t xml:space="preserve">아파트 수 </t>
    </r>
    <r>
      <rPr>
        <sz val="10"/>
        <color rgb="FF000000"/>
        <rFont val="Arial"/>
        <family val="0"/>
        <charset val="1"/>
      </rPr>
      <t xml:space="preserve">(2023)</t>
    </r>
  </si>
  <si>
    <r>
      <rPr>
        <sz val="10"/>
        <color rgb="FF000000"/>
        <rFont val="WenQuanYi Zen Hei"/>
        <family val="2"/>
      </rPr>
      <t xml:space="preserve">통계청</t>
    </r>
    <r>
      <rPr>
        <sz val="10"/>
        <color rgb="FF000000"/>
        <rFont val="Arial"/>
        <family val="0"/>
        <charset val="1"/>
      </rPr>
      <t xml:space="preserve">, 2023 </t>
    </r>
    <r>
      <rPr>
        <sz val="10"/>
        <color rgb="FF000000"/>
        <rFont val="WenQuanYi Zen Hei"/>
        <family val="2"/>
      </rPr>
      <t xml:space="preserve">주택총조사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보도 인용</t>
    </r>
    <r>
      <rPr>
        <sz val="10"/>
        <color rgb="FF000000"/>
        <rFont val="Arial"/>
        <family val="0"/>
        <charset val="1"/>
      </rPr>
      <t xml:space="preserve">)</t>
    </r>
  </si>
  <si>
    <t xml:space="preserve">m_apt_20y_2023</t>
  </si>
  <si>
    <r>
      <rPr>
        <sz val="10"/>
        <color rgb="FF000000"/>
        <rFont val="WenQuanYi Zen Hei"/>
        <family val="2"/>
      </rPr>
      <t xml:space="preserve">준공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 이상 아파트 </t>
    </r>
    <r>
      <rPr>
        <sz val="10"/>
        <color rgb="FF000000"/>
        <rFont val="Arial"/>
        <family val="0"/>
        <charset val="1"/>
      </rPr>
      <t xml:space="preserve">(2023)</t>
    </r>
  </si>
  <si>
    <t xml:space="preserve">m_txn_2025</t>
  </si>
  <si>
    <r>
      <rPr>
        <sz val="10"/>
        <color rgb="FF000000"/>
        <rFont val="WenQuanYi Zen Hei"/>
        <family val="2"/>
      </rPr>
      <t xml:space="preserve">주택 매매거래 </t>
    </r>
    <r>
      <rPr>
        <sz val="10"/>
        <color rgb="FF000000"/>
        <rFont val="Arial"/>
        <family val="0"/>
        <charset val="1"/>
      </rPr>
      <t xml:space="preserve">(2025, </t>
    </r>
    <r>
      <rPr>
        <sz val="10"/>
        <color rgb="FF000000"/>
        <rFont val="WenQuanYi Zen Hei"/>
        <family val="2"/>
      </rPr>
      <t xml:space="preserve">전체 주택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</si>
  <si>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KB</t>
    </r>
    <r>
      <rPr>
        <sz val="10"/>
        <color rgb="FF000000"/>
        <rFont val="WenQuanYi Zen Hei"/>
        <family val="2"/>
      </rPr>
      <t xml:space="preserve">주택시장리뷰 </t>
    </r>
    <r>
      <rPr>
        <sz val="10"/>
        <color rgb="FF000000"/>
        <rFont val="Arial"/>
        <family val="0"/>
        <charset val="1"/>
      </rPr>
      <t xml:space="preserve">2026.2 (</t>
    </r>
    <r>
      <rPr>
        <sz val="10"/>
        <color rgb="FF000000"/>
        <rFont val="WenQuanYi Zen Hei"/>
        <family val="2"/>
      </rPr>
      <t xml:space="preserve">한국부동산원 자료</t>
    </r>
    <r>
      <rPr>
        <sz val="10"/>
        <color rgb="FF000000"/>
        <rFont val="Arial"/>
        <family val="0"/>
        <charset val="1"/>
      </rPr>
      <t xml:space="preserve">)</t>
    </r>
  </si>
  <si>
    <t xml:space="preserve">m_completion_2025</t>
  </si>
  <si>
    <r>
      <rPr>
        <sz val="10"/>
        <color rgb="FF000000"/>
        <rFont val="WenQuanYi Zen Hei"/>
        <family val="2"/>
      </rPr>
      <t xml:space="preserve">주택 준공 </t>
    </r>
    <r>
      <rPr>
        <sz val="10"/>
        <color rgb="FF000000"/>
        <rFont val="Arial"/>
        <family val="0"/>
        <charset val="1"/>
      </rPr>
      <t xml:space="preserve">(2025 </t>
    </r>
    <r>
      <rPr>
        <sz val="10"/>
        <color rgb="FF000000"/>
        <rFont val="WenQuanYi Zen Hei"/>
        <family val="2"/>
      </rPr>
      <t xml:space="preserve">연간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전체 주택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</si>
  <si>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국토교통부</t>
    </r>
    <r>
      <rPr>
        <sz val="10"/>
        <color rgb="FF000000"/>
        <rFont val="Arial"/>
        <family val="0"/>
        <charset val="1"/>
      </rPr>
      <t xml:space="preserve">, 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월 주택통계</t>
    </r>
  </si>
  <si>
    <t xml:space="preserve">m_movein_2025</t>
  </si>
  <si>
    <r>
      <rPr>
        <sz val="10"/>
        <color rgb="FF000000"/>
        <rFont val="WenQuanYi Zen Hei"/>
        <family val="2"/>
      </rPr>
      <t xml:space="preserve">아파트 입주 </t>
    </r>
    <r>
      <rPr>
        <sz val="10"/>
        <color rgb="FF000000"/>
        <rFont val="Arial"/>
        <family val="0"/>
        <charset val="1"/>
      </rPr>
      <t xml:space="preserve">(2025)</t>
    </r>
  </si>
  <si>
    <r>
      <rPr>
        <sz val="10"/>
        <color rgb="FF000000"/>
        <rFont val="WenQuanYi Zen Hei"/>
        <family val="2"/>
      </rPr>
      <t xml:space="preserve">부동산</t>
    </r>
    <r>
      <rPr>
        <sz val="10"/>
        <color rgb="FF000000"/>
        <rFont val="Arial"/>
        <family val="0"/>
        <charset val="1"/>
      </rPr>
      <t xml:space="preserve">114 REPS</t>
    </r>
  </si>
  <si>
    <t xml:space="preserve">m_movein_2026e</t>
  </si>
  <si>
    <r>
      <rPr>
        <sz val="10"/>
        <color rgb="FF000000"/>
        <rFont val="WenQuanYi Zen Hei"/>
        <family val="2"/>
      </rPr>
      <t xml:space="preserve">아파트 입주 예정 </t>
    </r>
    <r>
      <rPr>
        <sz val="10"/>
        <color rgb="FF000000"/>
        <rFont val="Arial"/>
        <family val="0"/>
        <charset val="1"/>
      </rPr>
      <t xml:space="preserve">(2026)</t>
    </r>
  </si>
  <si>
    <r>
      <rPr>
        <sz val="10"/>
        <color rgb="FF000000"/>
        <rFont val="WenQuanYi Zen Hei"/>
        <family val="2"/>
      </rPr>
      <t xml:space="preserve">부동산</t>
    </r>
    <r>
      <rPr>
        <sz val="10"/>
        <color rgb="FF000000"/>
        <rFont val="Arial"/>
        <family val="0"/>
        <charset val="1"/>
      </rPr>
      <t xml:space="preserve">114 REPS (</t>
    </r>
    <r>
      <rPr>
        <sz val="10"/>
        <color rgb="FF000000"/>
        <rFont val="WenQuanYi Zen Hei"/>
        <family val="2"/>
      </rPr>
      <t xml:space="preserve">예정 물량</t>
    </r>
    <r>
      <rPr>
        <sz val="10"/>
        <color rgb="FF000000"/>
        <rFont val="Arial"/>
        <family val="0"/>
        <charset val="1"/>
      </rPr>
      <t xml:space="preserve">)</t>
    </r>
  </si>
  <si>
    <t xml:space="preserve">a_replace_cycle</t>
  </si>
  <si>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교체주기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노후 아파트</t>
    </r>
    <r>
      <rPr>
        <sz val="10"/>
        <color rgb="FF000000"/>
        <rFont val="Arial"/>
        <family val="0"/>
        <charset val="1"/>
      </rPr>
      <t xml:space="preserve">)</t>
    </r>
  </si>
  <si>
    <t xml:space="preserve">년</t>
  </si>
  <si>
    <t xml:space="preserve">ASSUMPTION</t>
  </si>
  <si>
    <r>
      <rPr>
        <sz val="10"/>
        <color rgb="FF000000"/>
        <rFont val="WenQuanYi Zen Hei"/>
        <family val="2"/>
      </rPr>
      <t xml:space="preserve">교차검증용 가정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견적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인터뷰로 검증</t>
    </r>
  </si>
  <si>
    <t xml:space="preserve">a_txn_apt_share</t>
  </si>
  <si>
    <t xml:space="preserve">매매거래 중 아파트 비중</t>
  </si>
  <si>
    <t xml:space="preserve">부동산원 월별 아파트 거래 비중 확인 필요</t>
  </si>
  <si>
    <t xml:space="preserve">a_txn_kitchen_rate</t>
  </si>
  <si>
    <r>
      <rPr>
        <sz val="10"/>
        <color rgb="FF000000"/>
        <rFont val="WenQuanYi Zen Hei"/>
        <family val="2"/>
      </rPr>
      <t xml:space="preserve">매수 후 </t>
    </r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교체율</t>
    </r>
  </si>
  <si>
    <r>
      <rPr>
        <sz val="10"/>
        <color rgb="FF000000"/>
        <rFont val="WenQuanYi Zen Hei"/>
        <family val="2"/>
      </rPr>
      <t xml:space="preserve">인터뷰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인테리어 </t>
    </r>
    <r>
      <rPr>
        <sz val="10"/>
        <color rgb="FF000000"/>
        <rFont val="Arial"/>
        <family val="0"/>
        <charset val="1"/>
      </rPr>
      <t xml:space="preserve">Partner </t>
    </r>
    <r>
      <rPr>
        <sz val="10"/>
        <color rgb="FF000000"/>
        <rFont val="WenQuanYi Zen Hei"/>
        <family val="2"/>
      </rPr>
      <t xml:space="preserve">자료로 검증</t>
    </r>
  </si>
  <si>
    <t xml:space="preserve">a_aging_nontxn</t>
  </si>
  <si>
    <t xml:space="preserve">비거래 노후 교체 세대</t>
  </si>
  <si>
    <r>
      <rPr>
        <sz val="10"/>
        <color rgb="FF000000"/>
        <rFont val="WenQuanYi Zen Hei"/>
        <family val="2"/>
      </rPr>
      <t xml:space="preserve">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년</t>
    </r>
  </si>
  <si>
    <t xml:space="preserve">교차검증용 가정</t>
  </si>
  <si>
    <t xml:space="preserve">a_kitchen_replace</t>
  </si>
  <si>
    <r>
      <rPr>
        <sz val="10"/>
        <color rgb="FF000000"/>
        <rFont val="WenQuanYi Zen Hei"/>
        <family val="2"/>
      </rPr>
      <t xml:space="preserve">연간 </t>
    </r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교체 세대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아파트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</si>
  <si>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두 방식 교차검증 </t>
    </r>
    <r>
      <rPr>
        <sz val="10"/>
        <color rgb="FF000000"/>
        <rFont val="Arial"/>
        <family val="0"/>
        <charset val="1"/>
      </rPr>
      <t xml:space="preserve">(29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· 30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후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만으로 설정</t>
    </r>
  </si>
  <si>
    <t xml:space="preserve">a_premium_share</t>
  </si>
  <si>
    <r>
      <rPr>
        <sz val="10"/>
        <color rgb="FF000000"/>
        <rFont val="Arial"/>
        <family val="0"/>
        <charset val="1"/>
      </rPr>
      <t xml:space="preserve">Premium Kitchen </t>
    </r>
    <r>
      <rPr>
        <sz val="10"/>
        <color rgb="FF000000"/>
        <rFont val="WenQuanYi Zen Hei"/>
        <family val="2"/>
      </rPr>
      <t xml:space="preserve">비중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교체 세대 중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</si>
  <si>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주방 예산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만원 이상 가정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견적 수집으로 검증</t>
    </r>
  </si>
  <si>
    <t xml:space="preserve">a_fit_rate</t>
  </si>
  <si>
    <r>
      <rPr>
        <sz val="10"/>
        <color rgb="FF000000"/>
        <rFont val="Arial"/>
        <family val="0"/>
        <charset val="1"/>
      </rPr>
      <t xml:space="preserve">Remodeling </t>
    </r>
    <r>
      <rPr>
        <sz val="10"/>
        <color rgb="FF000000"/>
        <rFont val="WenQuanYi Zen Hei"/>
        <family val="2"/>
      </rPr>
      <t xml:space="preserve">적용 가능률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구조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전원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평면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</si>
  <si>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평면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개 분석으로 검증</t>
    </r>
  </si>
  <si>
    <t xml:space="preserve">a_prem_stock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</si>
  <si>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세대 비중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아파트 재고 기준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</si>
  <si>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Retrofit </t>
    </r>
    <r>
      <rPr>
        <sz val="10"/>
        <color rgb="FF000000"/>
        <rFont val="WenQuanYi Zen Hei"/>
        <family val="2"/>
      </rPr>
      <t xml:space="preserve">대상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소득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주택가격 기준 정의 필요</t>
    </r>
  </si>
  <si>
    <t xml:space="preserve">a_dw_premium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</si>
  <si>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세대 식기세척기 보유율</t>
    </r>
  </si>
  <si>
    <r>
      <rPr>
        <sz val="10"/>
        <color rgb="FF000000"/>
        <rFont val="WenQuanYi Zen Hei"/>
        <family val="2"/>
      </rPr>
      <t xml:space="preserve">공식 보급률 통계 확인 안 됨 </t>
    </r>
    <r>
      <rPr>
        <sz val="10"/>
        <color rgb="FF000000"/>
        <rFont val="Arial"/>
        <family val="0"/>
        <charset val="1"/>
      </rPr>
      <t xml:space="preserve">(2019~20 </t>
    </r>
    <r>
      <rPr>
        <sz val="10"/>
        <color rgb="FF000000"/>
        <rFont val="WenQuanYi Zen Hei"/>
        <family val="2"/>
      </rPr>
      <t xml:space="preserve">업계 추정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대 초반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전체 가구</t>
    </r>
    <r>
      <rPr>
        <sz val="10"/>
        <color rgb="FF000000"/>
        <rFont val="Arial"/>
        <family val="0"/>
        <charset val="1"/>
      </rPr>
      <t xml:space="preserve">) → TO BE VALIDATED</t>
    </r>
  </si>
  <si>
    <t xml:space="preserve">a_retro_fit</t>
  </si>
  <si>
    <r>
      <rPr>
        <sz val="10"/>
        <color rgb="FF000000"/>
        <rFont val="Arial"/>
        <family val="0"/>
        <charset val="1"/>
      </rPr>
      <t xml:space="preserve">Retrofit </t>
    </r>
    <r>
      <rPr>
        <sz val="10"/>
        <color rgb="FF000000"/>
        <rFont val="WenQuanYi Zen Hei"/>
        <family val="2"/>
      </rPr>
      <t xml:space="preserve">호환률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주방 형태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식세기 위치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상부장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</si>
  <si>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가설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확보 평면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종 </t>
    </r>
    <r>
      <rPr>
        <sz val="10"/>
        <color rgb="FF000000"/>
        <rFont val="Arial"/>
        <family val="0"/>
        <charset val="1"/>
      </rPr>
      <t xml:space="preserve">(Remodeling </t>
    </r>
    <r>
      <rPr>
        <sz val="10"/>
        <color rgb="FF000000"/>
        <rFont val="WenQuanYi Zen Hei"/>
        <family val="2"/>
      </rPr>
      <t xml:space="preserve">기본 배치 수용 </t>
    </r>
    <r>
      <rPr>
        <sz val="10"/>
        <color rgb="FF000000"/>
        <rFont val="Arial"/>
        <family val="0"/>
        <charset val="1"/>
      </rPr>
      <t xml:space="preserve">1 · </t>
    </r>
    <r>
      <rPr>
        <sz val="10"/>
        <color rgb="FF000000"/>
        <rFont val="WenQuanYi Zen Hei"/>
        <family val="2"/>
      </rPr>
      <t xml:space="preserve">미수용 </t>
    </r>
    <r>
      <rPr>
        <sz val="10"/>
        <color rgb="FF000000"/>
        <rFont val="Arial"/>
        <family val="0"/>
        <charset val="1"/>
      </rPr>
      <t xml:space="preserve">3 · </t>
    </r>
    <r>
      <rPr>
        <sz val="10"/>
        <color rgb="FF000000"/>
        <rFont val="WenQuanYi Zen Hei"/>
        <family val="2"/>
      </rPr>
      <t xml:space="preserve">미검토 </t>
    </r>
    <r>
      <rPr>
        <sz val="10"/>
        <color rgb="FF000000"/>
        <rFont val="Arial"/>
        <family val="0"/>
        <charset val="1"/>
      </rPr>
      <t xml:space="preserve">1)</t>
    </r>
    <r>
      <rPr>
        <sz val="10"/>
        <color rgb="FF000000"/>
        <rFont val="WenQuanYi Zen Hei"/>
        <family val="2"/>
      </rPr>
      <t xml:space="preserve">으로는 판단 불가 → 평면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상담 주방 실측으로 검증</t>
    </r>
  </si>
  <si>
    <t xml:space="preserve">a_retro_conv</t>
  </si>
  <si>
    <r>
      <rPr>
        <sz val="10"/>
        <color rgb="FF000000"/>
        <rFont val="Arial"/>
        <family val="0"/>
        <charset val="1"/>
      </rPr>
      <t xml:space="preserve">Retrofit </t>
    </r>
    <r>
      <rPr>
        <sz val="10"/>
        <color rgb="FF000000"/>
        <rFont val="WenQuanYi Zen Hei"/>
        <family val="2"/>
      </rPr>
      <t xml:space="preserve">연간 전환율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호환 세대 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제품 성숙 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</si>
  <si>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가설</t>
    </r>
    <r>
      <rPr>
        <sz val="10"/>
        <color rgb="FF000000"/>
        <rFont val="Arial"/>
        <family val="0"/>
        <charset val="1"/>
      </rPr>
      <t xml:space="preserve">. Phase 2 </t>
    </r>
    <r>
      <rPr>
        <sz val="10"/>
        <color rgb="FF000000"/>
        <rFont val="WenQuanYi Zen Hei"/>
        <family val="2"/>
      </rPr>
      <t xml:space="preserve">시작 전 검증</t>
    </r>
  </si>
  <si>
    <t xml:space="preserve">a_new_supply</t>
  </si>
  <si>
    <r>
      <rPr>
        <sz val="10"/>
        <color rgb="FF000000"/>
        <rFont val="WenQuanYi Zen Hei"/>
        <family val="2"/>
      </rPr>
      <t xml:space="preserve">연간 신규 아파트 입주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평균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</si>
  <si>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실적 </t>
    </r>
    <r>
      <rPr>
        <sz val="10"/>
        <color rgb="FF000000"/>
        <rFont val="Arial"/>
        <family val="0"/>
        <charset val="1"/>
      </rPr>
      <t xml:space="preserve">23.6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· 2026 </t>
    </r>
    <r>
      <rPr>
        <sz val="10"/>
        <color rgb="FF000000"/>
        <rFont val="WenQuanYi Zen Hei"/>
        <family val="2"/>
      </rPr>
      <t xml:space="preserve">예정 </t>
    </r>
    <r>
      <rPr>
        <sz val="10"/>
        <color rgb="FF000000"/>
        <rFont val="Arial"/>
        <family val="0"/>
        <charset val="1"/>
      </rPr>
      <t xml:space="preserve">18.3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평균 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) → </t>
    </r>
    <r>
      <rPr>
        <sz val="10"/>
        <color rgb="FF000000"/>
        <rFont val="WenQuanYi Zen Hei"/>
        <family val="2"/>
      </rPr>
      <t xml:space="preserve">보수적으로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만</t>
    </r>
  </si>
  <si>
    <t xml:space="preserve">a_premium_project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</si>
  <si>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단지 비중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</si>
  <si>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브랜드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분양가 기준 정의 필요</t>
    </r>
  </si>
  <si>
    <t xml:space="preserve">VALUE</t>
  </si>
  <si>
    <t xml:space="preserve">f_helper_rate</t>
  </si>
  <si>
    <r>
      <rPr>
        <sz val="10"/>
        <color rgb="FF000000"/>
        <rFont val="WenQuanYi Zen Hei"/>
        <family val="2"/>
      </rPr>
      <t xml:space="preserve">가사서비스 시간당 요금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플랫폼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시간 </t>
    </r>
    <r>
      <rPr>
        <sz val="10"/>
        <color rgb="FF000000"/>
        <rFont val="Arial"/>
        <family val="0"/>
        <charset val="1"/>
      </rPr>
      <t xml:space="preserve">59,900~64,900</t>
    </r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</si>
  <si>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/h</t>
    </r>
  </si>
  <si>
    <r>
      <rPr>
        <sz val="10"/>
        <color rgb="FF000000"/>
        <rFont val="WenQuanYi Zen Hei"/>
        <family val="2"/>
      </rPr>
      <t xml:space="preserve">가사서비스 플랫폼 공개 요금 </t>
    </r>
    <r>
      <rPr>
        <sz val="10"/>
        <color rgb="FF000000"/>
        <rFont val="Arial"/>
        <family val="0"/>
        <charset val="1"/>
      </rPr>
      <t xml:space="preserve">(2025, </t>
    </r>
    <r>
      <rPr>
        <sz val="10"/>
        <color rgb="FF000000"/>
        <rFont val="WenQuanYi Zen Hei"/>
        <family val="2"/>
      </rPr>
      <t xml:space="preserve">보도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앱 정보</t>
    </r>
    <r>
      <rPr>
        <sz val="10"/>
        <color rgb="FF000000"/>
        <rFont val="Arial"/>
        <family val="0"/>
        <charset val="1"/>
      </rPr>
      <t xml:space="preserve">)</t>
    </r>
  </si>
  <si>
    <t xml:space="preserve">a_cleanup_min</t>
  </si>
  <si>
    <r>
      <rPr>
        <sz val="10"/>
        <color rgb="FF000000"/>
        <rFont val="WenQuanYi Zen Hei"/>
        <family val="2"/>
      </rPr>
      <t xml:space="preserve">식사 후 정리 시간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식기 이동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식세기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</si>
  <si>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</si>
  <si>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Arial"/>
        <family val="0"/>
        <charset val="1"/>
      </rPr>
      <t xml:space="preserve">Time-diary(n=30)</t>
    </r>
    <r>
      <rPr>
        <sz val="10"/>
        <color rgb="FF000000"/>
        <rFont val="WenQuanYi Zen Hei"/>
        <family val="2"/>
      </rPr>
      <t xml:space="preserve">로 검증</t>
    </r>
  </si>
  <si>
    <t xml:space="preserve">a_auto_share</t>
  </si>
  <si>
    <r>
      <rPr>
        <sz val="10"/>
        <color rgb="FF000000"/>
        <rFont val="Arial"/>
        <family val="0"/>
        <charset val="1"/>
      </rPr>
      <t xml:space="preserve">CLEAN </t>
    </r>
    <r>
      <rPr>
        <sz val="10"/>
        <color rgb="FF000000"/>
        <rFont val="WenQuanYi Zen Hei"/>
        <family val="2"/>
      </rPr>
      <t xml:space="preserve">자동화 가능 비중</t>
    </r>
  </si>
  <si>
    <r>
      <rPr>
        <sz val="10"/>
        <color rgb="FF000000"/>
        <rFont val="WenQuanYi Zen Hei"/>
        <family val="2"/>
      </rPr>
      <t xml:space="preserve">식기 이동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식세기 적재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인출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수납만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행주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싱크 세척 제외</t>
    </r>
  </si>
  <si>
    <t xml:space="preserve">fx</t>
  </si>
  <si>
    <r>
      <rPr>
        <sz val="10"/>
        <color rgb="FF000000"/>
        <rFont val="WenQuanYi Zen Hei"/>
        <family val="2"/>
      </rPr>
      <t xml:space="preserve">환율 </t>
    </r>
    <r>
      <rPr>
        <sz val="10"/>
        <color rgb="FF000000"/>
        <rFont val="Arial"/>
        <family val="0"/>
        <charset val="1"/>
      </rPr>
      <t xml:space="preserve">(Benchmark </t>
    </r>
    <r>
      <rPr>
        <sz val="10"/>
        <color rgb="FF000000"/>
        <rFont val="WenQuanYi Zen Hei"/>
        <family val="2"/>
      </rPr>
      <t xml:space="preserve">환산용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</si>
  <si>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/USD</t>
    </r>
  </si>
  <si>
    <r>
      <rPr>
        <sz val="10"/>
        <color rgb="FF000000"/>
        <rFont val="WenQuanYi Zen Hei"/>
        <family val="2"/>
      </rPr>
      <t xml:space="preserve">부품 </t>
    </r>
    <r>
      <rPr>
        <sz val="10"/>
        <color rgb="FF000000"/>
        <rFont val="Arial"/>
        <family val="0"/>
        <charset val="1"/>
      </rPr>
      <t xml:space="preserve">Benchmark </t>
    </r>
    <r>
      <rPr>
        <sz val="10"/>
        <color rgb="FF000000"/>
        <rFont val="WenQuanYi Zen Hei"/>
        <family val="2"/>
      </rPr>
      <t xml:space="preserve">환산 전용</t>
    </r>
  </si>
  <si>
    <t xml:space="preserve">PRICE</t>
  </si>
  <si>
    <t xml:space="preserve">p_rr</t>
  </si>
  <si>
    <r>
      <rPr>
        <sz val="10"/>
        <color rgb="FF000000"/>
        <rFont val="Arial"/>
        <family val="0"/>
        <charset val="1"/>
      </rPr>
      <t xml:space="preserve">Interface · Integration — Remodeling (Robot Home · Rail · </t>
    </r>
    <r>
      <rPr>
        <sz val="10"/>
        <color rgb="FF000000"/>
        <rFont val="WenQuanYi Zen Hei"/>
        <family val="2"/>
      </rPr>
      <t xml:space="preserve">식세기 </t>
    </r>
    <r>
      <rPr>
        <sz val="10"/>
        <color rgb="FF000000"/>
        <rFont val="Arial"/>
        <family val="0"/>
        <charset val="1"/>
      </rPr>
      <t xml:space="preserve">Interface · Storage Dock)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</si>
  <si>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</si>
  <si>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WenQuanYi Zen Hei"/>
        <family val="2"/>
      </rPr>
      <t xml:space="preserve">주방 공사비 위 증분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시스템에어컨 유상옵션</t>
    </r>
    <r>
      <rPr>
        <sz val="10"/>
        <color rgb="FF000000"/>
        <rFont val="Arial"/>
        <family val="0"/>
        <charset val="1"/>
      </rPr>
      <t xml:space="preserve">(500~1,000</t>
    </r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대비 하단</t>
    </r>
  </si>
  <si>
    <t xml:space="preserve">p_rr_new</t>
  </si>
  <si>
    <r>
      <rPr>
        <sz val="10"/>
        <color rgb="FF000000"/>
        <rFont val="Arial"/>
        <family val="0"/>
        <charset val="1"/>
      </rPr>
      <t xml:space="preserve">Interface Option — New-build (</t>
    </r>
    <r>
      <rPr>
        <sz val="10"/>
        <color rgb="FF000000"/>
        <rFont val="WenQuanYi Zen Hei"/>
        <family val="2"/>
      </rPr>
      <t xml:space="preserve">설계 반영</t>
    </r>
    <r>
      <rPr>
        <sz val="10"/>
        <color rgb="FF000000"/>
        <rFont val="Arial"/>
        <family val="0"/>
        <charset val="1"/>
      </rPr>
      <t xml:space="preserve">, MH </t>
    </r>
    <r>
      <rPr>
        <sz val="10"/>
        <color rgb="FF000000"/>
        <rFont val="WenQuanYi Zen Hei"/>
        <family val="2"/>
      </rPr>
      <t xml:space="preserve">공급가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</si>
  <si>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건설사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가구사 마진 별도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분양 고객가 약 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만원 가정</t>
    </r>
  </si>
  <si>
    <t xml:space="preserve">p_rt_if</t>
  </si>
  <si>
    <t xml:space="preserve">Interface Kit — Retrofit (Compact Mount · Dock · Vision Reference · Drop Zone)</t>
  </si>
  <si>
    <r>
      <rPr>
        <sz val="10"/>
        <color rgb="FF000000"/>
        <rFont val="WenQuanYi Zen Hei"/>
        <family val="2"/>
      </rPr>
      <t xml:space="preserve">기존 주방 유지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최소 시공</t>
    </r>
  </si>
  <si>
    <t xml:space="preserve">p_robot</t>
  </si>
  <si>
    <t xml:space="preserve">Robot System ASP (Arm · Adaptive Hand · Vision · Safety · Controller)</t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</si>
  <si>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대</t>
    </r>
  </si>
  <si>
    <r>
      <rPr>
        <sz val="10"/>
        <color rgb="FF000000"/>
        <rFont val="Arial"/>
        <family val="0"/>
        <charset val="1"/>
      </rPr>
      <t xml:space="preserve">Upside</t>
    </r>
    <r>
      <rPr>
        <sz val="10"/>
        <color rgb="FF000000"/>
        <rFont val="WenQuanYi Zen Hei"/>
        <family val="2"/>
      </rPr>
      <t xml:space="preserve">는 가격 인상 없음</t>
    </r>
    <r>
      <rPr>
        <sz val="10"/>
        <color rgb="FF000000"/>
        <rFont val="Arial"/>
        <family val="0"/>
        <charset val="1"/>
      </rPr>
      <t xml:space="preserve">. WTP </t>
    </r>
    <r>
      <rPr>
        <sz val="10"/>
        <color rgb="FF000000"/>
        <rFont val="WenQuanYi Zen Hei"/>
        <family val="2"/>
      </rPr>
      <t xml:space="preserve">검증 대상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순위</t>
    </r>
  </si>
  <si>
    <t xml:space="preserve">p_comm</t>
  </si>
  <si>
    <t xml:space="preserve">Installation · Calibration · Safety Check (Remodeling · New-build)</t>
  </si>
  <si>
    <t xml:space="preserve">p_comm_rt</t>
  </si>
  <si>
    <r>
      <rPr>
        <sz val="10"/>
        <color rgb="FF000000"/>
        <rFont val="Arial"/>
        <family val="0"/>
        <charset val="1"/>
      </rPr>
      <t xml:space="preserve">Installation · Calibration (Retrofit, </t>
    </r>
    <r>
      <rPr>
        <sz val="10"/>
        <color rgb="FF000000"/>
        <rFont val="WenQuanYi Zen Hei"/>
        <family val="2"/>
      </rPr>
      <t xml:space="preserve">현장 </t>
    </r>
    <r>
      <rPr>
        <sz val="10"/>
        <color rgb="FF000000"/>
        <rFont val="Arial"/>
        <family val="0"/>
        <charset val="1"/>
      </rPr>
      <t xml:space="preserve">Calibration </t>
    </r>
    <r>
      <rPr>
        <sz val="10"/>
        <color rgb="FF000000"/>
        <rFont val="WenQuanYi Zen Hei"/>
        <family val="2"/>
      </rPr>
      <t xml:space="preserve">비중 큼</t>
    </r>
    <r>
      <rPr>
        <sz val="10"/>
        <color rgb="FF000000"/>
        <rFont val="Arial"/>
        <family val="0"/>
        <charset val="1"/>
      </rPr>
      <t xml:space="preserve">)</t>
    </r>
  </si>
  <si>
    <t xml:space="preserve">p_rent</t>
  </si>
  <si>
    <r>
      <rPr>
        <sz val="10"/>
        <color rgb="FF000000"/>
        <rFont val="Arial"/>
        <family val="0"/>
        <charset val="1"/>
      </rPr>
      <t xml:space="preserve">Robot Rental </t>
    </r>
    <r>
      <rPr>
        <sz val="10"/>
        <color rgb="FF000000"/>
        <rFont val="WenQuanYi Zen Hei"/>
        <family val="2"/>
      </rPr>
      <t xml:space="preserve">월 요금 </t>
    </r>
    <r>
      <rPr>
        <sz val="10"/>
        <color rgb="FF000000"/>
        <rFont val="Arial"/>
        <family val="0"/>
        <charset val="1"/>
      </rPr>
      <t xml:space="preserve">(Care Basic · Grip Kit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, 60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</si>
  <si>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월</t>
    </r>
  </si>
  <si>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Build-up (</t>
    </r>
    <r>
      <rPr>
        <sz val="10"/>
        <color rgb="FF000000"/>
        <rFont val="WenQuanYi Zen Hei"/>
        <family val="2"/>
      </rPr>
      <t xml:space="preserve">감가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금융 </t>
    </r>
    <r>
      <rPr>
        <sz val="10"/>
        <color rgb="FF000000"/>
        <rFont val="Arial"/>
        <family val="0"/>
        <charset val="1"/>
      </rPr>
      <t xml:space="preserve">· Care · Grip · Reserve) + </t>
    </r>
    <r>
      <rPr>
        <sz val="10"/>
        <color rgb="FF000000"/>
        <rFont val="WenQuanYi Zen Hei"/>
        <family val="2"/>
      </rPr>
      <t xml:space="preserve">마진</t>
    </r>
  </si>
  <si>
    <t xml:space="preserve">rent_months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</si>
  <si>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계약기간</t>
    </r>
  </si>
  <si>
    <t xml:space="preserve">개월</t>
  </si>
  <si>
    <t xml:space="preserve">p_care</t>
  </si>
  <si>
    <r>
      <rPr>
        <sz val="10"/>
        <color rgb="FF000000"/>
        <rFont val="Arial"/>
        <family val="0"/>
        <charset val="1"/>
      </rPr>
      <t xml:space="preserve">Care Basic </t>
    </r>
    <r>
      <rPr>
        <sz val="10"/>
        <color rgb="FF000000"/>
        <rFont val="WenQuanYi Zen Hei"/>
        <family val="2"/>
      </rPr>
      <t xml:space="preserve">연 요금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구매 고객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</si>
  <si>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</si>
  <si>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WenQuanYi Zen Hei"/>
        <family val="2"/>
      </rPr>
      <t xml:space="preserve">정기 안전점검 </t>
    </r>
    <r>
      <rPr>
        <sz val="10"/>
        <color rgb="FF000000"/>
        <rFont val="Arial"/>
        <family val="0"/>
        <charset val="1"/>
      </rPr>
      <t xml:space="preserve">· Calibration · </t>
    </r>
    <r>
      <rPr>
        <sz val="10"/>
        <color rgb="FF000000"/>
        <rFont val="WenQuanYi Zen Hei"/>
        <family val="2"/>
      </rPr>
      <t xml:space="preserve">원격진단 </t>
    </r>
    <r>
      <rPr>
        <sz val="10"/>
        <color rgb="FF000000"/>
        <rFont val="Arial"/>
        <family val="0"/>
        <charset val="1"/>
      </rPr>
      <t xml:space="preserve">· SW Update · A/S </t>
    </r>
    <r>
      <rPr>
        <sz val="10"/>
        <color rgb="FF000000"/>
        <rFont val="WenQuanYi Zen Hei"/>
        <family val="2"/>
      </rPr>
      <t xml:space="preserve">공임</t>
    </r>
  </si>
  <si>
    <t xml:space="preserve">p_care_plus</t>
  </si>
  <si>
    <r>
      <rPr>
        <sz val="10"/>
        <color rgb="FF000000"/>
        <rFont val="Arial"/>
        <family val="0"/>
        <charset val="1"/>
      </rPr>
      <t xml:space="preserve">Care Plus </t>
    </r>
    <r>
      <rPr>
        <sz val="10"/>
        <color rgb="FF000000"/>
        <rFont val="WenQuanYi Zen Hei"/>
        <family val="2"/>
      </rPr>
      <t xml:space="preserve">연 요금 </t>
    </r>
    <r>
      <rPr>
        <sz val="10"/>
        <color rgb="FF000000"/>
        <rFont val="Arial"/>
        <family val="0"/>
        <charset val="1"/>
      </rPr>
      <t xml:space="preserve">(Kit </t>
    </r>
    <r>
      <rPr>
        <sz val="10"/>
        <color rgb="FF000000"/>
        <rFont val="WenQuanYi Zen Hei"/>
        <family val="2"/>
      </rPr>
      <t xml:space="preserve">정기교체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</si>
  <si>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옵션 상품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재무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에는 미반영</t>
    </r>
  </si>
  <si>
    <t xml:space="preserve">p_grip</t>
  </si>
  <si>
    <t xml:space="preserve">Grip Kit (Finger Pad · Food-contact Tip · Suction Seal)</t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</si>
  <si>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/Kit</t>
    </r>
  </si>
  <si>
    <t xml:space="preserve">분기 교체 가정</t>
  </si>
  <si>
    <t xml:space="preserve">n_grip</t>
  </si>
  <si>
    <r>
      <rPr>
        <sz val="10"/>
        <color rgb="FF000000"/>
        <rFont val="Arial"/>
        <family val="0"/>
        <charset val="1"/>
      </rPr>
      <t xml:space="preserve">Grip Kit </t>
    </r>
    <r>
      <rPr>
        <sz val="10"/>
        <color rgb="FF000000"/>
        <rFont val="WenQuanYi Zen Hei"/>
        <family val="2"/>
      </rPr>
      <t xml:space="preserve">교체 횟수</t>
    </r>
  </si>
  <si>
    <r>
      <rPr>
        <sz val="10"/>
        <color rgb="FF000000"/>
        <rFont val="WenQuanYi Zen Hei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</si>
  <si>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Arial"/>
        <family val="0"/>
        <charset val="1"/>
      </rPr>
      <t xml:space="preserve">Pad </t>
    </r>
    <r>
      <rPr>
        <sz val="10"/>
        <color rgb="FF000000"/>
        <rFont val="WenQuanYi Zen Hei"/>
        <family val="2"/>
      </rPr>
      <t xml:space="preserve">마모율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교체주기 검증 대상 </t>
    </r>
    <r>
      <rPr>
        <sz val="10"/>
        <color rgb="FF000000"/>
        <rFont val="Arial"/>
        <family val="0"/>
        <charset val="1"/>
      </rPr>
      <t xml:space="preserve">(KPI: Pad </t>
    </r>
    <r>
      <rPr>
        <sz val="10"/>
        <color rgb="FF000000"/>
        <rFont val="WenQuanYi Zen Hei"/>
        <family val="2"/>
      </rPr>
      <t xml:space="preserve">수명</t>
    </r>
    <r>
      <rPr>
        <sz val="10"/>
        <color rgb="FF000000"/>
        <rFont val="Arial"/>
        <family val="0"/>
        <charset val="1"/>
      </rPr>
      <t xml:space="preserve">)</t>
    </r>
  </si>
  <si>
    <t xml:space="preserve">p_clean</t>
  </si>
  <si>
    <t xml:space="preserve">Cleaning Kit (Brush · Wiper · Cleaning Pad)</t>
  </si>
  <si>
    <t xml:space="preserve">n_clean</t>
  </si>
  <si>
    <r>
      <rPr>
        <sz val="10"/>
        <color rgb="FF000000"/>
        <rFont val="Arial"/>
        <family val="0"/>
        <charset val="1"/>
      </rPr>
      <t xml:space="preserve">Cleaning Kit </t>
    </r>
    <r>
      <rPr>
        <sz val="10"/>
        <color rgb="FF000000"/>
        <rFont val="WenQuanYi Zen Hei"/>
        <family val="2"/>
      </rPr>
      <t xml:space="preserve">교체 횟수</t>
    </r>
  </si>
  <si>
    <t xml:space="preserve">p_protect</t>
  </si>
  <si>
    <t xml:space="preserve">Protection Kit (Sensor Cover · Sleeve · Seal)</t>
  </si>
  <si>
    <t xml:space="preserve">n_protect</t>
  </si>
  <si>
    <r>
      <rPr>
        <sz val="10"/>
        <color rgb="FF000000"/>
        <rFont val="Arial"/>
        <family val="0"/>
        <charset val="1"/>
      </rPr>
      <t xml:space="preserve">Protection Kit </t>
    </r>
    <r>
      <rPr>
        <sz val="10"/>
        <color rgb="FF000000"/>
        <rFont val="WenQuanYi Zen Hei"/>
        <family val="2"/>
      </rPr>
      <t xml:space="preserve">교체 횟수</t>
    </r>
  </si>
  <si>
    <t xml:space="preserve">cons_attach</t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</si>
  <si>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구매율</t>
    </r>
  </si>
  <si>
    <t xml:space="preserve">care_attach</t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</si>
  <si>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가입률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구매 고객</t>
    </r>
    <r>
      <rPr>
        <sz val="10"/>
        <color rgb="FF000000"/>
        <rFont val="Arial"/>
        <family val="0"/>
        <charset val="1"/>
      </rPr>
      <t xml:space="preserve">)</t>
    </r>
  </si>
  <si>
    <t xml:space="preserve">p_sw</t>
  </si>
  <si>
    <r>
      <rPr>
        <sz val="10"/>
        <color rgb="FF000000"/>
        <rFont val="Arial"/>
        <family val="0"/>
        <charset val="1"/>
      </rPr>
      <t xml:space="preserve">ASSIST Skill Pack (</t>
    </r>
    <r>
      <rPr>
        <sz val="10"/>
        <color rgb="FF000000"/>
        <rFont val="WenQuanYi Zen Hei"/>
        <family val="2"/>
      </rPr>
      <t xml:space="preserve">설치 다음 해</t>
    </r>
    <r>
      <rPr>
        <sz val="10"/>
        <color rgb="FF000000"/>
        <rFont val="Arial"/>
        <family val="0"/>
        <charset val="1"/>
      </rPr>
      <t xml:space="preserve">)</t>
    </r>
  </si>
  <si>
    <t xml:space="preserve">만원</t>
  </si>
  <si>
    <r>
      <rPr>
        <sz val="10"/>
        <color rgb="FF000000"/>
        <rFont val="Arial"/>
        <family val="0"/>
        <charset val="1"/>
      </rPr>
      <t xml:space="preserve">ASSIST </t>
    </r>
    <r>
      <rPr>
        <sz val="10"/>
        <color rgb="FF000000"/>
        <rFont val="WenQuanYi Zen Hei"/>
        <family val="2"/>
      </rPr>
      <t xml:space="preserve">기능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재료 이동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투입 보조 등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출시 전제</t>
    </r>
  </si>
  <si>
    <t xml:space="preserve">sw_attach</t>
  </si>
  <si>
    <r>
      <rPr>
        <sz val="10"/>
        <color rgb="FF000000"/>
        <rFont val="Arial"/>
        <family val="0"/>
        <charset val="1"/>
      </rPr>
      <t xml:space="preserve">ASSIST Skill </t>
    </r>
    <r>
      <rPr>
        <sz val="10"/>
        <color rgb="FF000000"/>
        <rFont val="WenQuanYi Zen Hei"/>
        <family val="2"/>
      </rPr>
      <t xml:space="preserve">구매율</t>
    </r>
  </si>
  <si>
    <t xml:space="preserve">p_tool</t>
  </si>
  <si>
    <r>
      <rPr>
        <sz val="10"/>
        <color rgb="FF000000"/>
        <rFont val="Arial"/>
        <family val="0"/>
        <charset val="1"/>
      </rPr>
      <t xml:space="preserve">Tool · End-effector </t>
    </r>
    <r>
      <rPr>
        <sz val="10"/>
        <color rgb="FF000000"/>
        <rFont val="WenQuanYi Zen Hei"/>
        <family val="2"/>
      </rPr>
      <t xml:space="preserve">추가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</si>
  <si>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FUTURE CONCEPT </t>
    </r>
    <r>
      <rPr>
        <sz val="10"/>
        <color rgb="FF000000"/>
        <rFont val="WenQuanYi Zen Hei"/>
        <family val="2"/>
      </rPr>
      <t xml:space="preserve">제품</t>
    </r>
  </si>
  <si>
    <t xml:space="preserve">tool_attach</t>
  </si>
  <si>
    <r>
      <rPr>
        <sz val="10"/>
        <color rgb="FF000000"/>
        <rFont val="Arial"/>
        <family val="0"/>
        <charset val="1"/>
      </rPr>
      <t xml:space="preserve">Tool </t>
    </r>
    <r>
      <rPr>
        <sz val="10"/>
        <color rgb="FF000000"/>
        <rFont val="WenQuanYi Zen Hei"/>
        <family val="2"/>
      </rPr>
      <t xml:space="preserve">구매율</t>
    </r>
  </si>
  <si>
    <t xml:space="preserve">wholesale</t>
  </si>
  <si>
    <r>
      <rPr>
        <sz val="10"/>
        <color rgb="FF000000"/>
        <rFont val="Arial"/>
        <family val="0"/>
        <charset val="1"/>
      </rPr>
      <t xml:space="preserve">Rental Partner </t>
    </r>
    <r>
      <rPr>
        <sz val="10"/>
        <color rgb="FF000000"/>
        <rFont val="WenQuanYi Zen Hei"/>
        <family val="2"/>
      </rPr>
      <t xml:space="preserve">공급가율 </t>
    </r>
    <r>
      <rPr>
        <sz val="10"/>
        <color rgb="FF000000"/>
        <rFont val="Arial"/>
        <family val="0"/>
        <charset val="1"/>
      </rPr>
      <t xml:space="preserve">(Robot ASP </t>
    </r>
    <r>
      <rPr>
        <sz val="10"/>
        <color rgb="FF000000"/>
        <rFont val="WenQuanYi Zen Hei"/>
        <family val="2"/>
      </rPr>
      <t xml:space="preserve">대비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</si>
  <si>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WenQuanYi Zen Hei"/>
        <family val="2"/>
      </rPr>
      <t xml:space="preserve">부터 </t>
    </r>
    <r>
      <rPr>
        <sz val="10"/>
        <color rgb="FF000000"/>
        <rFont val="Arial"/>
        <family val="0"/>
        <charset val="1"/>
      </rPr>
      <t xml:space="preserve">Rental Partner</t>
    </r>
    <r>
      <rPr>
        <sz val="10"/>
        <color rgb="FF000000"/>
        <rFont val="WenQuanYi Zen Hei"/>
        <family val="2"/>
      </rPr>
      <t xml:space="preserve">가 자산 보유</t>
    </r>
  </si>
  <si>
    <t xml:space="preserve">partner_fee</t>
  </si>
  <si>
    <r>
      <rPr>
        <sz val="10"/>
        <color rgb="FF000000"/>
        <rFont val="Arial"/>
        <family val="0"/>
        <charset val="1"/>
      </rPr>
      <t xml:space="preserve">Rental Partner → MH Care · Grip </t>
    </r>
    <r>
      <rPr>
        <sz val="10"/>
        <color rgb="FF000000"/>
        <rFont val="WenQuanYi Zen Hei"/>
        <family val="2"/>
      </rPr>
      <t xml:space="preserve">서비스료</t>
    </r>
  </si>
  <si>
    <t xml:space="preserve">COST</t>
  </si>
  <si>
    <t xml:space="preserve">kit_std_cost</t>
  </si>
  <si>
    <r>
      <rPr>
        <sz val="10"/>
        <color rgb="FF000000"/>
        <rFont val="Arial"/>
        <family val="0"/>
        <charset val="1"/>
      </rPr>
      <t xml:space="preserve">Interface Kit </t>
    </r>
    <r>
      <rPr>
        <sz val="10"/>
        <color rgb="FF000000"/>
        <rFont val="WenQuanYi Zen Hei"/>
        <family val="2"/>
      </rPr>
      <t xml:space="preserve">원가 — </t>
    </r>
    <r>
      <rPr>
        <sz val="10"/>
        <color rgb="FF000000"/>
        <rFont val="Arial"/>
        <family val="0"/>
        <charset val="1"/>
      </rPr>
      <t xml:space="preserve">Remodeling (</t>
    </r>
    <r>
      <rPr>
        <sz val="10"/>
        <color rgb="FF000000"/>
        <rFont val="WenQuanYi Zen Hei"/>
        <family val="2"/>
      </rPr>
      <t xml:space="preserve">표준부품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기준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</si>
  <si>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Robot Home (Dock) · Rail Interface · </t>
    </r>
    <r>
      <rPr>
        <sz val="10"/>
        <color rgb="FF000000"/>
        <rFont val="WenQuanYi Zen Hei"/>
        <family val="2"/>
      </rPr>
      <t xml:space="preserve">식세기 상향 하우징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전원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통신 </t>
    </r>
    <r>
      <rPr>
        <sz val="10"/>
        <color rgb="FF000000"/>
        <rFont val="Arial"/>
        <family val="0"/>
        <charset val="1"/>
      </rPr>
      <t xml:space="preserve">· Storage Dock</t>
    </r>
  </si>
  <si>
    <t xml:space="preserve">custom_factor</t>
  </si>
  <si>
    <r>
      <rPr>
        <sz val="10"/>
        <color rgb="FF000000"/>
        <rFont val="Arial"/>
        <family val="0"/>
        <charset val="1"/>
      </rPr>
      <t xml:space="preserve">Custom </t>
    </r>
    <r>
      <rPr>
        <sz val="10"/>
        <color rgb="FF000000"/>
        <rFont val="WenQuanYi Zen Hei"/>
        <family val="2"/>
      </rPr>
      <t xml:space="preserve">부품 원가 배수</t>
    </r>
  </si>
  <si>
    <t xml:space="preserve">x</t>
  </si>
  <si>
    <t xml:space="preserve">design_cost</t>
  </si>
  <si>
    <r>
      <rPr>
        <sz val="10"/>
        <color rgb="FF000000"/>
        <rFont val="Arial"/>
        <family val="0"/>
        <charset val="1"/>
      </rPr>
      <t xml:space="preserve">Site </t>
    </r>
    <r>
      <rPr>
        <sz val="10"/>
        <color rgb="FF000000"/>
        <rFont val="WenQuanYi Zen Hei"/>
        <family val="2"/>
      </rPr>
      <t xml:space="preserve">설계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조정 원가 </t>
    </r>
    <r>
      <rPr>
        <sz val="10"/>
        <color rgb="FF000000"/>
        <rFont val="Arial"/>
        <family val="0"/>
        <charset val="1"/>
      </rPr>
      <t xml:space="preserve">(100% Custom </t>
    </r>
    <r>
      <rPr>
        <sz val="10"/>
        <color rgb="FF000000"/>
        <rFont val="WenQuanYi Zen Hei"/>
        <family val="2"/>
      </rPr>
      <t xml:space="preserve">시</t>
    </r>
    <r>
      <rPr>
        <sz val="10"/>
        <color rgb="FF000000"/>
        <rFont val="Arial"/>
        <family val="0"/>
        <charset val="1"/>
      </rPr>
      <t xml:space="preserve">)</t>
    </r>
  </si>
  <si>
    <t xml:space="preserve">kit_new_cost</t>
  </si>
  <si>
    <r>
      <rPr>
        <sz val="10"/>
        <color rgb="FF000000"/>
        <rFont val="Arial"/>
        <family val="0"/>
        <charset val="1"/>
      </rPr>
      <t xml:space="preserve">Interface Option </t>
    </r>
    <r>
      <rPr>
        <sz val="10"/>
        <color rgb="FF000000"/>
        <rFont val="WenQuanYi Zen Hei"/>
        <family val="2"/>
      </rPr>
      <t xml:space="preserve">원가 — </t>
    </r>
    <r>
      <rPr>
        <sz val="10"/>
        <color rgb="FF000000"/>
        <rFont val="Arial"/>
        <family val="0"/>
        <charset val="1"/>
      </rPr>
      <t xml:space="preserve">New-build (</t>
    </r>
    <r>
      <rPr>
        <sz val="10"/>
        <color rgb="FF000000"/>
        <rFont val="WenQuanYi Zen Hei"/>
        <family val="2"/>
      </rPr>
      <t xml:space="preserve">공장 생산</t>
    </r>
    <r>
      <rPr>
        <sz val="10"/>
        <color rgb="FF000000"/>
        <rFont val="Arial"/>
        <family val="0"/>
        <charset val="1"/>
      </rPr>
      <t xml:space="preserve">)</t>
    </r>
  </si>
  <si>
    <t xml:space="preserve">rt_kit_cost</t>
  </si>
  <si>
    <r>
      <rPr>
        <sz val="10"/>
        <color rgb="FF000000"/>
        <rFont val="Arial"/>
        <family val="0"/>
        <charset val="1"/>
      </rPr>
      <t xml:space="preserve">Interface Kit </t>
    </r>
    <r>
      <rPr>
        <sz val="10"/>
        <color rgb="FF000000"/>
        <rFont val="WenQuanYi Zen Hei"/>
        <family val="2"/>
      </rPr>
      <t xml:space="preserve">원가 — </t>
    </r>
    <r>
      <rPr>
        <sz val="10"/>
        <color rgb="FF000000"/>
        <rFont val="Arial"/>
        <family val="0"/>
        <charset val="1"/>
      </rPr>
      <t xml:space="preserve">Retrofit</t>
    </r>
  </si>
  <si>
    <t xml:space="preserve">Compact Mount · Dock · Vision Reference</t>
  </si>
  <si>
    <t xml:space="preserve">logistics</t>
  </si>
  <si>
    <r>
      <rPr>
        <sz val="10"/>
        <color rgb="FF000000"/>
        <rFont val="WenQuanYi Zen Hei"/>
        <family val="2"/>
      </rPr>
      <t xml:space="preserve">물류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세대당</t>
    </r>
    <r>
      <rPr>
        <sz val="10"/>
        <color rgb="FF000000"/>
        <rFont val="Arial"/>
        <family val="0"/>
        <charset val="1"/>
      </rPr>
      <t xml:space="preserve">)</t>
    </r>
  </si>
  <si>
    <t xml:space="preserve">warranty</t>
  </si>
  <si>
    <r>
      <rPr>
        <sz val="10"/>
        <color rgb="FF000000"/>
        <rFont val="Arial"/>
        <family val="0"/>
        <charset val="1"/>
      </rPr>
      <t xml:space="preserve">Warranty Reserve (Robot </t>
    </r>
    <r>
      <rPr>
        <sz val="10"/>
        <color rgb="FF000000"/>
        <rFont val="WenQuanYi Zen Hei"/>
        <family val="2"/>
      </rPr>
      <t xml:space="preserve">매출 대비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</si>
  <si>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년 무상 </t>
    </r>
    <r>
      <rPr>
        <sz val="10"/>
        <color rgb="FF000000"/>
        <rFont val="Arial"/>
        <family val="0"/>
        <charset val="1"/>
      </rPr>
      <t xml:space="preserve">A/S</t>
    </r>
  </si>
  <si>
    <t xml:space="preserve">corrective</t>
  </si>
  <si>
    <r>
      <rPr>
        <sz val="10"/>
        <color rgb="FF000000"/>
        <rFont val="WenQuanYi Zen Hei"/>
        <family val="2"/>
      </rPr>
      <t xml:space="preserve">고장 방문 </t>
    </r>
    <r>
      <rPr>
        <sz val="10"/>
        <color rgb="FF000000"/>
        <rFont val="Arial"/>
        <family val="0"/>
        <charset val="1"/>
      </rPr>
      <t xml:space="preserve">(Failure Rate)</t>
    </r>
  </si>
  <si>
    <r>
      <rPr>
        <sz val="10"/>
        <color rgb="FF000000"/>
        <rFont val="WenQuanYi Zen Hei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년</t>
    </r>
  </si>
  <si>
    <t xml:space="preserve">corr_cost</t>
  </si>
  <si>
    <r>
      <rPr>
        <sz val="10"/>
        <color rgb="FF000000"/>
        <rFont val="WenQuanYi Zen Hei"/>
        <family val="2"/>
      </rPr>
      <t xml:space="preserve">고장 방문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회 원가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소부품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</si>
  <si>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회</t>
    </r>
  </si>
  <si>
    <t xml:space="preserve">cloud</t>
  </si>
  <si>
    <r>
      <rPr>
        <sz val="10"/>
        <color rgb="FF000000"/>
        <rFont val="Arial"/>
        <family val="0"/>
        <charset val="1"/>
      </rPr>
      <t xml:space="preserve">Cloud · Software </t>
    </r>
    <r>
      <rPr>
        <sz val="10"/>
        <color rgb="FF000000"/>
        <rFont val="WenQuanYi Zen Hei"/>
        <family val="2"/>
      </rPr>
      <t xml:space="preserve">운영비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</si>
  <si>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년</t>
    </r>
  </si>
  <si>
    <t xml:space="preserve">cons_cogs</t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</si>
  <si>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원가율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물류 포함</t>
    </r>
    <r>
      <rPr>
        <sz val="10"/>
        <color rgb="FF000000"/>
        <rFont val="Arial"/>
        <family val="0"/>
        <charset val="1"/>
      </rPr>
      <t xml:space="preserve">)</t>
    </r>
  </si>
  <si>
    <t xml:space="preserve">sw_cogs</t>
  </si>
  <si>
    <r>
      <rPr>
        <sz val="10"/>
        <color rgb="FF000000"/>
        <rFont val="Arial"/>
        <family val="0"/>
        <charset val="1"/>
      </rPr>
      <t xml:space="preserve">Skill </t>
    </r>
    <r>
      <rPr>
        <sz val="10"/>
        <color rgb="FF000000"/>
        <rFont val="WenQuanYi Zen Hei"/>
        <family val="2"/>
      </rPr>
      <t xml:space="preserve">원가율</t>
    </r>
  </si>
  <si>
    <t xml:space="preserve">tool_cogs</t>
  </si>
  <si>
    <r>
      <rPr>
        <sz val="10"/>
        <color rgb="FF000000"/>
        <rFont val="Arial"/>
        <family val="0"/>
        <charset val="1"/>
      </rPr>
      <t xml:space="preserve">Tool </t>
    </r>
    <r>
      <rPr>
        <sz val="10"/>
        <color rgb="FF000000"/>
        <rFont val="WenQuanYi Zen Hei"/>
        <family val="2"/>
      </rPr>
      <t xml:space="preserve">원가율</t>
    </r>
  </si>
  <si>
    <t xml:space="preserve">partner_margin</t>
  </si>
  <si>
    <r>
      <rPr>
        <sz val="10"/>
        <color rgb="FF000000"/>
        <rFont val="Arial"/>
        <family val="0"/>
        <charset val="1"/>
      </rPr>
      <t xml:space="preserve">Kitchen · Interior · </t>
    </r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Arial"/>
        <family val="0"/>
        <charset val="1"/>
      </rPr>
      <t xml:space="preserve">Partner </t>
    </r>
    <r>
      <rPr>
        <sz val="10"/>
        <color rgb="FF000000"/>
        <rFont val="WenQuanYi Zen Hei"/>
        <family val="2"/>
      </rPr>
      <t xml:space="preserve">수수료 </t>
    </r>
    <r>
      <rPr>
        <sz val="10"/>
        <color rgb="FF000000"/>
        <rFont val="Arial"/>
        <family val="0"/>
        <charset val="1"/>
      </rPr>
      <t xml:space="preserve">(Partner </t>
    </r>
    <r>
      <rPr>
        <sz val="10"/>
        <color rgb="FF000000"/>
        <rFont val="WenQuanYi Zen Hei"/>
        <family val="2"/>
      </rPr>
      <t xml:space="preserve">경유 판매</t>
    </r>
    <r>
      <rPr>
        <sz val="10"/>
        <color rgb="FF000000"/>
        <rFont val="Arial"/>
        <family val="0"/>
        <charset val="1"/>
      </rPr>
      <t xml:space="preserve">)</t>
    </r>
  </si>
  <si>
    <t xml:space="preserve">cac</t>
  </si>
  <si>
    <r>
      <rPr>
        <sz val="10"/>
        <color rgb="FF000000"/>
        <rFont val="WenQuanYi Zen Hei"/>
        <family val="2"/>
      </rPr>
      <t xml:space="preserve">직접판매 획득비용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상담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설계 </t>
    </r>
    <r>
      <rPr>
        <sz val="10"/>
        <color rgb="FF000000"/>
        <rFont val="Arial"/>
        <family val="0"/>
        <charset val="1"/>
      </rPr>
      <t xml:space="preserve">· Demo)</t>
    </r>
  </si>
  <si>
    <t xml:space="preserve">bd_new</t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</si>
  <si>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수주비용 </t>
    </r>
    <r>
      <rPr>
        <sz val="10"/>
        <color rgb="FF000000"/>
        <rFont val="Arial"/>
        <family val="0"/>
        <charset val="1"/>
      </rPr>
      <t xml:space="preserve">(Spec · </t>
    </r>
    <r>
      <rPr>
        <sz val="10"/>
        <color rgb="FF000000"/>
        <rFont val="WenQuanYi Zen Hei"/>
        <family val="2"/>
      </rPr>
      <t xml:space="preserve">견본주택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</si>
  <si>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/Project</t>
    </r>
  </si>
  <si>
    <t xml:space="preserve">residual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</si>
  <si>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잔존가치 </t>
    </r>
    <r>
      <rPr>
        <sz val="10"/>
        <color rgb="FF000000"/>
        <rFont val="Arial"/>
        <family val="0"/>
        <charset val="1"/>
      </rPr>
      <t xml:space="preserve">(60</t>
    </r>
    <r>
      <rPr>
        <sz val="10"/>
        <color rgb="FF000000"/>
        <rFont val="WenQuanYi Zen Hei"/>
        <family val="2"/>
      </rPr>
      <t xml:space="preserve">개월 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</si>
  <si>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Refurbish </t>
    </r>
    <r>
      <rPr>
        <sz val="10"/>
        <color rgb="FF000000"/>
        <rFont val="WenQuanYi Zen Hei"/>
        <family val="2"/>
      </rPr>
      <t xml:space="preserve">재배치</t>
    </r>
  </si>
  <si>
    <t xml:space="preserve">fin_rate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</si>
  <si>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금융비용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</si>
  <si>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</si>
  <si>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WenQuanYi Zen Hei"/>
        <family val="2"/>
      </rPr>
      <t xml:space="preserve">캐피탈 조달금리 </t>
    </r>
    <r>
      <rPr>
        <sz val="10"/>
        <color rgb="FF000000"/>
        <rFont val="Arial"/>
        <family val="0"/>
        <charset val="1"/>
      </rPr>
      <t xml:space="preserve">+ Spread </t>
    </r>
    <r>
      <rPr>
        <sz val="10"/>
        <color rgb="FF000000"/>
        <rFont val="WenQuanYi Zen Hei"/>
        <family val="2"/>
      </rPr>
      <t xml:space="preserve">가정</t>
    </r>
  </si>
  <si>
    <t xml:space="preserve">payback_hurdle</t>
  </si>
  <si>
    <r>
      <rPr>
        <sz val="10"/>
        <color rgb="FF000000"/>
        <rFont val="Arial"/>
        <family val="0"/>
        <charset val="1"/>
      </rPr>
      <t xml:space="preserve">Rental Partner </t>
    </r>
    <r>
      <rPr>
        <sz val="10"/>
        <color rgb="FF000000"/>
        <rFont val="WenQuanYi Zen Hei"/>
        <family val="2"/>
      </rPr>
      <t xml:space="preserve">요구 </t>
    </r>
    <r>
      <rPr>
        <sz val="10"/>
        <color rgb="FF000000"/>
        <rFont val="Arial"/>
        <family val="0"/>
        <charset val="1"/>
      </rPr>
      <t xml:space="preserve">Payback</t>
    </r>
  </si>
  <si>
    <r>
      <rPr>
        <sz val="10"/>
        <color rgb="FF000000"/>
        <rFont val="WenQuanYi Zen Hei"/>
        <family val="2"/>
      </rPr>
      <t xml:space="preserve">렌탈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캐피탈사 협의로 검증</t>
    </r>
  </si>
  <si>
    <t xml:space="preserve">VOLUME</t>
  </si>
  <si>
    <t xml:space="preserve">later_attach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</si>
  <si>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선설치 세대의 연간 </t>
    </r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후설치</t>
    </r>
  </si>
  <si>
    <t xml:space="preserve">hh_project</t>
  </si>
  <si>
    <r>
      <rPr>
        <sz val="10"/>
        <color rgb="FF000000"/>
        <rFont val="Arial"/>
        <family val="0"/>
        <charset val="1"/>
      </rPr>
      <t xml:space="preserve">Project</t>
    </r>
    <r>
      <rPr>
        <sz val="10"/>
        <color rgb="FF000000"/>
        <rFont val="WenQuanYi Zen Hei"/>
        <family val="2"/>
      </rPr>
      <t xml:space="preserve">당 세대수</t>
    </r>
  </si>
  <si>
    <t xml:space="preserve">option_rate</t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</si>
  <si>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Interface Option </t>
    </r>
    <r>
      <rPr>
        <sz val="10"/>
        <color rgb="FF000000"/>
        <rFont val="WenQuanYi Zen Hei"/>
        <family val="2"/>
      </rPr>
      <t xml:space="preserve">선택률</t>
    </r>
  </si>
  <si>
    <t xml:space="preserve">new_attach</t>
  </si>
  <si>
    <r>
      <rPr>
        <sz val="10"/>
        <color rgb="FF000000"/>
        <rFont val="WenQuanYi Zen Hei"/>
        <family val="2"/>
      </rPr>
      <t xml:space="preserve">신축 입주 시 </t>
    </r>
    <r>
      <rPr>
        <sz val="10"/>
        <color rgb="FF000000"/>
        <rFont val="Arial"/>
        <family val="0"/>
        <charset val="1"/>
      </rPr>
      <t xml:space="preserve">Robot Attach</t>
    </r>
  </si>
  <si>
    <t xml:space="preserve">FUNDING</t>
  </si>
  <si>
    <t xml:space="preserve">tips</t>
  </si>
  <si>
    <r>
      <rPr>
        <sz val="10"/>
        <color rgb="FF000000"/>
        <rFont val="Arial"/>
        <family val="0"/>
        <charset val="1"/>
      </rPr>
      <t xml:space="preserve">TIPS R&amp;D </t>
    </r>
    <r>
      <rPr>
        <sz val="10"/>
        <color rgb="FF000000"/>
        <rFont val="WenQuanYi Zen Hei"/>
        <family val="2"/>
      </rPr>
      <t xml:space="preserve">정부지원금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일반 트랙 최대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</si>
  <si>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중소벤처기업부 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(2026.1.26) </t>
    </r>
    <r>
      <rPr>
        <sz val="10"/>
        <color rgb="FF000000"/>
        <rFont val="WenQuanYi Zen Hei"/>
        <family val="2"/>
      </rPr>
      <t xml:space="preserve">팁스 창업기업 지원계획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선정 미확정</t>
    </r>
  </si>
  <si>
    <t xml:space="preserve">tips_months</t>
  </si>
  <si>
    <r>
      <rPr>
        <sz val="10"/>
        <color rgb="FF000000"/>
        <rFont val="Arial"/>
        <family val="0"/>
        <charset val="1"/>
      </rPr>
      <t xml:space="preserve">TIPS R&amp;D </t>
    </r>
    <r>
      <rPr>
        <sz val="10"/>
        <color rgb="FF000000"/>
        <rFont val="WenQuanYi Zen Hei"/>
        <family val="2"/>
      </rPr>
      <t xml:space="preserve">기간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최대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</si>
  <si>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</t>
    </r>
  </si>
  <si>
    <t xml:space="preserve">tips_gov_ratio</t>
  </si>
  <si>
    <r>
      <rPr>
        <sz val="10"/>
        <color rgb="FF000000"/>
        <rFont val="WenQuanYi Zen Hei"/>
        <family val="2"/>
      </rPr>
      <t xml:space="preserve">정부지원연구개발비 비율 상한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총 연구개발비 대비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</si>
  <si>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운용사 정리 기준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정부 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WenQuanYi Zen Hei"/>
        <family val="2"/>
      </rPr>
      <t xml:space="preserve">이내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기관부담 </t>
    </r>
    <r>
      <rPr>
        <sz val="10"/>
        <color rgb="FF000000"/>
        <rFont val="Arial"/>
        <family val="0"/>
        <charset val="1"/>
      </rPr>
      <t xml:space="preserve">25% 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Arial"/>
        <family val="0"/>
        <charset val="1"/>
      </rPr>
      <t xml:space="preserve">)</t>
    </r>
  </si>
  <si>
    <t xml:space="preserve">tips_cash_ratio</t>
  </si>
  <si>
    <t xml:space="preserve">기관부담연구개발비 중 현금 최소 비율</t>
  </si>
  <si>
    <r>
      <rPr>
        <sz val="10"/>
        <color rgb="FF000000"/>
        <rFont val="WenQuanYi Zen Hei"/>
        <family val="2"/>
      </rPr>
      <t xml:space="preserve">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운용사 정리 기준</t>
    </r>
    <r>
      <rPr>
        <sz val="10"/>
        <color rgb="FF000000"/>
        <rFont val="Arial"/>
        <family val="0"/>
        <charset val="1"/>
      </rPr>
      <t xml:space="preserve">)</t>
    </r>
  </si>
  <si>
    <t xml:space="preserve">op_invest_min</t>
  </si>
  <si>
    <r>
      <rPr>
        <sz val="10"/>
        <color rgb="FF000000"/>
        <rFont val="Arial"/>
        <family val="0"/>
        <charset val="1"/>
      </rPr>
      <t xml:space="preserve">TIPS </t>
    </r>
    <r>
      <rPr>
        <sz val="10"/>
        <color rgb="FF000000"/>
        <rFont val="WenQuanYi Zen Hei"/>
        <family val="2"/>
      </rPr>
      <t xml:space="preserve">운영사 선투자 요건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수도권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</si>
  <si>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2026: </t>
    </r>
    <r>
      <rPr>
        <sz val="10"/>
        <color rgb="FF000000"/>
        <rFont val="WenQuanYi Zen Hei"/>
        <family val="2"/>
      </rPr>
      <t xml:space="preserve">수도권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억원 이상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비수도권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억원 이상</t>
    </r>
  </si>
  <si>
    <t xml:space="preserve">biz_link</t>
  </si>
  <si>
    <r>
      <rPr>
        <sz val="10"/>
        <color rgb="FF000000"/>
        <rFont val="WenQuanYi Zen Hei"/>
        <family val="2"/>
      </rPr>
      <t xml:space="preserve">비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WenQuanYi Zen Hei"/>
        <family val="2"/>
      </rPr>
      <t xml:space="preserve">연계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창업사업화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해외마케팅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각 최대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선정 뒤 별도 신청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기본안 미반영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</si>
  <si>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각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개월 최대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합산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정부 </t>
    </r>
    <r>
      <rPr>
        <sz val="10"/>
        <color rgb="FF000000"/>
        <rFont val="Arial"/>
        <family val="0"/>
        <charset val="1"/>
      </rPr>
      <t xml:space="preserve">70% </t>
    </r>
    <r>
      <rPr>
        <sz val="10"/>
        <color rgb="FF000000"/>
        <rFont val="WenQuanYi Zen Hei"/>
        <family val="2"/>
      </rPr>
      <t xml:space="preserve">이내</t>
    </r>
  </si>
  <si>
    <r>
      <rPr>
        <b val="true"/>
        <sz val="14"/>
        <rFont val="Arial"/>
        <family val="0"/>
        <charset val="1"/>
      </rPr>
      <t xml:space="preserve">Inputs_Yearly — </t>
    </r>
    <r>
      <rPr>
        <b val="true"/>
        <sz val="14"/>
        <rFont val="WenQuanYi Zen Hei"/>
        <family val="2"/>
      </rPr>
      <t xml:space="preserve">연도별 가정</t>
    </r>
  </si>
  <si>
    <t xml:space="preserve">Scenario</t>
  </si>
  <si>
    <t xml:space="preserve">realization</t>
  </si>
  <si>
    <r>
      <rPr>
        <sz val="10"/>
        <color rgb="FF000000"/>
        <rFont val="WenQuanYi Zen Hei"/>
        <family val="2"/>
      </rPr>
      <t xml:space="preserve">가격 실현율 </t>
    </r>
    <r>
      <rPr>
        <sz val="10"/>
        <color rgb="FF000000"/>
        <rFont val="Arial"/>
        <family val="0"/>
        <charset val="1"/>
      </rPr>
      <t xml:space="preserve">(Y2 Pilot </t>
    </r>
    <r>
      <rPr>
        <sz val="10"/>
        <color rgb="FF000000"/>
        <rFont val="WenQuanYi Zen Hei"/>
        <family val="2"/>
      </rPr>
      <t xml:space="preserve">할인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</si>
  <si>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Pilot</t>
    </r>
    <r>
      <rPr>
        <sz val="10"/>
        <color rgb="FF000000"/>
        <rFont val="WenQuanYi Zen Hei"/>
        <family val="2"/>
      </rPr>
      <t xml:space="preserve">은 할인 유료</t>
    </r>
  </si>
  <si>
    <t xml:space="preserve">smr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</si>
  <si>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표준부품 사용률</t>
    </r>
  </si>
  <si>
    <t xml:space="preserve">TARGET</t>
  </si>
  <si>
    <r>
      <rPr>
        <sz val="10"/>
        <color rgb="FF000000"/>
        <rFont val="Arial"/>
        <family val="0"/>
        <charset val="1"/>
      </rPr>
      <t xml:space="preserve">M24 65% </t>
    </r>
    <r>
      <rPr>
        <sz val="10"/>
        <color rgb="FF000000"/>
        <rFont val="WenQuanYi Zen Hei"/>
        <family val="2"/>
      </rPr>
      <t xml:space="preserve">이상 목표 </t>
    </r>
    <r>
      <rPr>
        <sz val="10"/>
        <color rgb="FF000000"/>
        <rFont val="Arial"/>
        <family val="0"/>
        <charset val="1"/>
      </rPr>
      <t xml:space="preserve">(M18 60% </t>
    </r>
    <r>
      <rPr>
        <sz val="10"/>
        <color rgb="FF000000"/>
        <rFont val="WenQuanYi Zen Hei"/>
        <family val="2"/>
      </rPr>
      <t xml:space="preserve">미만이면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설계 재검토</t>
    </r>
    <r>
      <rPr>
        <sz val="10"/>
        <color rgb="FF000000"/>
        <rFont val="Arial"/>
        <family val="0"/>
        <charset val="1"/>
      </rPr>
      <t xml:space="preserve">)</t>
    </r>
  </si>
  <si>
    <t xml:space="preserve">bom</t>
  </si>
  <si>
    <r>
      <rPr>
        <sz val="10"/>
        <color rgb="FF000000"/>
        <rFont val="Arial"/>
        <family val="0"/>
        <charset val="1"/>
      </rPr>
      <t xml:space="preserve">Robot System BOM (Adaptive Hand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</si>
  <si>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BOM </t>
    </r>
    <r>
      <rPr>
        <sz val="10"/>
        <color rgb="FF000000"/>
        <rFont val="WenQuanYi Zen Hei"/>
        <family val="2"/>
      </rPr>
      <t xml:space="preserve">구성 </t>
    </r>
    <r>
      <rPr>
        <sz val="10"/>
        <color rgb="FF000000"/>
        <rFont val="Arial"/>
        <family val="0"/>
        <charset val="1"/>
      </rPr>
      <t xml:space="preserve">Benchmark </t>
    </r>
    <r>
      <rPr>
        <sz val="10"/>
        <color rgb="FF000000"/>
        <rFont val="WenQuanYi Zen Hei"/>
        <family val="2"/>
      </rPr>
      <t xml:space="preserve">기반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부록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수량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국산화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자체 </t>
    </r>
    <r>
      <rPr>
        <sz val="10"/>
        <color rgb="FF000000"/>
        <rFont val="Arial"/>
        <family val="0"/>
        <charset val="1"/>
      </rPr>
      <t xml:space="preserve">Hand </t>
    </r>
    <r>
      <rPr>
        <sz val="10"/>
        <color rgb="FF000000"/>
        <rFont val="WenQuanYi Zen Hei"/>
        <family val="2"/>
      </rPr>
      <t xml:space="preserve">원가 하락 가정</t>
    </r>
  </si>
  <si>
    <t xml:space="preserve">comm_cost</t>
  </si>
  <si>
    <r>
      <rPr>
        <sz val="10"/>
        <color rgb="FF000000"/>
        <rFont val="Arial"/>
        <family val="0"/>
        <charset val="1"/>
      </rPr>
      <t xml:space="preserve">Installation · Calibration </t>
    </r>
    <r>
      <rPr>
        <sz val="10"/>
        <color rgb="FF000000"/>
        <rFont val="WenQuanYi Zen Hei"/>
        <family val="2"/>
      </rPr>
      <t xml:space="preserve">원가 — </t>
    </r>
    <r>
      <rPr>
        <sz val="10"/>
        <color rgb="FF000000"/>
        <rFont val="Arial"/>
        <family val="0"/>
        <charset val="1"/>
      </rPr>
      <t xml:space="preserve">Remodeling · New-build (MH </t>
    </r>
    <r>
      <rPr>
        <sz val="10"/>
        <color rgb="FF000000"/>
        <rFont val="WenQuanYi Zen Hei"/>
        <family val="2"/>
      </rPr>
      <t xml:space="preserve">인력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</si>
  <si>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Calibration </t>
    </r>
    <r>
      <rPr>
        <sz val="10"/>
        <color rgb="FF000000"/>
        <rFont val="WenQuanYi Zen Hei"/>
        <family val="2"/>
      </rPr>
      <t xml:space="preserve">시간 </t>
    </r>
    <r>
      <rPr>
        <sz val="10"/>
        <color rgb="FF000000"/>
        <rFont val="Arial"/>
        <family val="0"/>
        <charset val="1"/>
      </rPr>
      <t xml:space="preserve">KPI</t>
    </r>
    <r>
      <rPr>
        <sz val="10"/>
        <color rgb="FF000000"/>
        <rFont val="WenQuanYi Zen Hei"/>
        <family val="2"/>
      </rPr>
      <t xml:space="preserve">와 연동</t>
    </r>
  </si>
  <si>
    <t xml:space="preserve">comm_cost_rt</t>
  </si>
  <si>
    <r>
      <rPr>
        <sz val="10"/>
        <color rgb="FF000000"/>
        <rFont val="Arial"/>
        <family val="0"/>
        <charset val="1"/>
      </rPr>
      <t xml:space="preserve">Installation · Calibration </t>
    </r>
    <r>
      <rPr>
        <sz val="10"/>
        <color rgb="FF000000"/>
        <rFont val="WenQuanYi Zen Hei"/>
        <family val="2"/>
      </rPr>
      <t xml:space="preserve">원가 — </t>
    </r>
    <r>
      <rPr>
        <sz val="10"/>
        <color rgb="FF000000"/>
        <rFont val="Arial"/>
        <family val="0"/>
        <charset val="1"/>
      </rPr>
      <t xml:space="preserve">Retrofit (MH </t>
    </r>
    <r>
      <rPr>
        <sz val="10"/>
        <color rgb="FF000000"/>
        <rFont val="WenQuanYi Zen Hei"/>
        <family val="2"/>
      </rPr>
      <t xml:space="preserve">인력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</si>
  <si>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현장 </t>
    </r>
    <r>
      <rPr>
        <sz val="10"/>
        <color rgb="FF000000"/>
        <rFont val="Arial"/>
        <family val="0"/>
        <charset val="1"/>
      </rPr>
      <t xml:space="preserve">Calibration </t>
    </r>
    <r>
      <rPr>
        <sz val="10"/>
        <color rgb="FF000000"/>
        <rFont val="WenQuanYi Zen Hei"/>
        <family val="2"/>
      </rPr>
      <t xml:space="preserve">비중 큼</t>
    </r>
  </si>
  <si>
    <t xml:space="preserve">visits</t>
  </si>
  <si>
    <t xml:space="preserve">정기 방문 횟수</t>
  </si>
  <si>
    <t xml:space="preserve">원격진단 고도화로 감소</t>
  </si>
  <si>
    <t xml:space="preserve">visit_cost</t>
  </si>
  <si>
    <r>
      <rPr>
        <sz val="10"/>
        <color rgb="FF000000"/>
        <rFont val="WenQuanYi Zen Hei"/>
        <family val="2"/>
      </rPr>
      <t xml:space="preserve">방문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회 원가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인건비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이동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</si>
  <si>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참고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제조사 출장비 </t>
    </r>
    <r>
      <rPr>
        <sz val="10"/>
        <color rgb="FF000000"/>
        <rFont val="Arial"/>
        <family val="0"/>
        <charset val="1"/>
      </rPr>
      <t xml:space="preserve">2.8</t>
    </r>
    <r>
      <rPr>
        <sz val="10"/>
        <color rgb="FF000000"/>
        <rFont val="WenQuanYi Zen Hei"/>
        <family val="2"/>
      </rPr>
      <t xml:space="preserve">만원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소비자 부과분</t>
    </r>
    <r>
      <rPr>
        <sz val="10"/>
        <color rgb="FF000000"/>
        <rFont val="Arial"/>
        <family val="0"/>
        <charset val="1"/>
      </rPr>
      <t xml:space="preserve">, 2026)</t>
    </r>
    <r>
      <rPr>
        <sz val="10"/>
        <color rgb="FF000000"/>
        <rFont val="WenQuanYi Zen Hei"/>
        <family val="2"/>
      </rPr>
      <t xml:space="preserve">과 별개인 실제 원가</t>
    </r>
    <r>
      <rPr>
        <sz val="10"/>
        <color rgb="FF000000"/>
        <rFont val="Arial"/>
        <family val="0"/>
        <charset val="1"/>
      </rPr>
      <t xml:space="preserve">. Route Density</t>
    </r>
    <r>
      <rPr>
        <sz val="10"/>
        <color rgb="FF000000"/>
        <rFont val="WenQuanYi Zen Hei"/>
        <family val="2"/>
      </rPr>
      <t xml:space="preserve">로 하락</t>
    </r>
  </si>
  <si>
    <t xml:space="preserve">rd</t>
  </si>
  <si>
    <r>
      <rPr>
        <sz val="10"/>
        <color rgb="FF000000"/>
        <rFont val="Arial"/>
        <family val="0"/>
        <charset val="1"/>
      </rPr>
      <t xml:space="preserve">Remodeling — MH </t>
    </r>
    <r>
      <rPr>
        <sz val="10"/>
        <color rgb="FF000000"/>
        <rFont val="WenQuanYi Zen Hei"/>
        <family val="2"/>
      </rPr>
      <t xml:space="preserve">직접 판매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시공은 파트너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</si>
  <si>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Y2 = </t>
    </r>
    <r>
      <rPr>
        <sz val="10"/>
        <color rgb="FF000000"/>
        <rFont val="WenQuanYi Zen Hei"/>
        <family val="2"/>
      </rPr>
      <t xml:space="preserve">가정 실증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세대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유료 목표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할인</t>
    </r>
    <r>
      <rPr>
        <sz val="10"/>
        <color rgb="FF000000"/>
        <rFont val="Arial"/>
        <family val="0"/>
        <charset val="1"/>
      </rPr>
      <t xml:space="preserve">)</t>
    </r>
  </si>
  <si>
    <t xml:space="preserve">rp</t>
  </si>
  <si>
    <r>
      <rPr>
        <sz val="10"/>
        <color rgb="FF000000"/>
        <rFont val="Arial"/>
        <family val="0"/>
        <charset val="1"/>
      </rPr>
      <t xml:space="preserve">Remodeling — </t>
    </r>
    <r>
      <rPr>
        <sz val="10"/>
        <color rgb="FF000000"/>
        <rFont val="WenQuanYi Zen Hei"/>
        <family val="2"/>
      </rPr>
      <t xml:space="preserve">주방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인테리어 </t>
    </r>
    <r>
      <rPr>
        <sz val="10"/>
        <color rgb="FF000000"/>
        <rFont val="Arial"/>
        <family val="0"/>
        <charset val="1"/>
      </rPr>
      <t xml:space="preserve">Partner </t>
    </r>
    <r>
      <rPr>
        <sz val="10"/>
        <color rgb="FF000000"/>
        <rFont val="WenQuanYi Zen Hei"/>
        <family val="2"/>
      </rPr>
      <t xml:space="preserve">경유</t>
    </r>
  </si>
  <si>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가구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인테리어 </t>
    </r>
    <r>
      <rPr>
        <sz val="10"/>
        <color rgb="FF000000"/>
        <rFont val="Arial"/>
        <family val="0"/>
        <charset val="1"/>
      </rPr>
      <t xml:space="preserve">Partner</t>
    </r>
  </si>
  <si>
    <t xml:space="preserve">rt</t>
  </si>
  <si>
    <r>
      <rPr>
        <sz val="10"/>
        <color rgb="FF000000"/>
        <rFont val="Arial"/>
        <family val="0"/>
        <charset val="1"/>
      </rPr>
      <t xml:space="preserve">Existing Kitchen Retrofit (</t>
    </r>
    <r>
      <rPr>
        <sz val="10"/>
        <color rgb="FF000000"/>
        <rFont val="WenQuanYi Zen Hei"/>
        <family val="2"/>
      </rPr>
      <t xml:space="preserve">호환 주방</t>
    </r>
    <r>
      <rPr>
        <sz val="10"/>
        <color rgb="FF000000"/>
        <rFont val="Arial"/>
        <family val="0"/>
        <charset val="1"/>
      </rPr>
      <t xml:space="preserve">, Partner </t>
    </r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</si>
  <si>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Phase 2. Y4 </t>
    </r>
    <r>
      <rPr>
        <sz val="10"/>
        <color rgb="FF000000"/>
        <rFont val="WenQuanYi Zen Hei"/>
        <family val="2"/>
      </rPr>
      <t xml:space="preserve">시작</t>
    </r>
  </si>
  <si>
    <t xml:space="preserve">attach</t>
  </si>
  <si>
    <r>
      <rPr>
        <sz val="10"/>
        <color rgb="FF000000"/>
        <rFont val="Arial"/>
        <family val="0"/>
        <charset val="1"/>
      </rPr>
      <t xml:space="preserve">Robot Attach Rate (Remodeling, </t>
    </r>
    <r>
      <rPr>
        <sz val="10"/>
        <color rgb="FF000000"/>
        <rFont val="WenQuanYi Zen Hei"/>
        <family val="2"/>
      </rPr>
      <t xml:space="preserve">설치 시점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</si>
  <si>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나머지는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선설치 </t>
    </r>
    <r>
      <rPr>
        <sz val="10"/>
        <color rgb="FF000000"/>
        <rFont val="Arial"/>
        <family val="0"/>
        <charset val="1"/>
      </rPr>
      <t xml:space="preserve">(Robot </t>
    </r>
    <r>
      <rPr>
        <sz val="10"/>
        <color rgb="FF000000"/>
        <rFont val="WenQuanYi Zen Hei"/>
        <family val="2"/>
      </rPr>
      <t xml:space="preserve">후설치</t>
    </r>
    <r>
      <rPr>
        <sz val="10"/>
        <color rgb="FF000000"/>
        <rFont val="Arial"/>
        <family val="0"/>
        <charset val="1"/>
      </rPr>
      <t xml:space="preserve">)</t>
    </r>
  </si>
  <si>
    <t xml:space="preserve">rental_share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</si>
  <si>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선택 비중</t>
    </r>
  </si>
  <si>
    <t xml:space="preserve">partner_rental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</si>
  <si>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보유 주체 </t>
    </r>
    <r>
      <rPr>
        <sz val="10"/>
        <color rgb="FF000000"/>
        <rFont val="Arial"/>
        <family val="0"/>
        <charset val="1"/>
      </rPr>
      <t xml:space="preserve">(0 = MH Pilot, 1 = Rental Partner)</t>
    </r>
  </si>
  <si>
    <t xml:space="preserve">flag</t>
  </si>
  <si>
    <t xml:space="preserve">projects</t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</si>
  <si>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Interface Option </t>
    </r>
    <r>
      <rPr>
        <sz val="10"/>
        <color rgb="FF000000"/>
        <rFont val="WenQuanYi Zen Hei"/>
        <family val="2"/>
      </rPr>
      <t xml:space="preserve">계약 </t>
    </r>
    <r>
      <rPr>
        <sz val="10"/>
        <color rgb="FF000000"/>
        <rFont val="Arial"/>
        <family val="0"/>
        <charset val="1"/>
      </rPr>
      <t xml:space="preserve">Project</t>
    </r>
  </si>
  <si>
    <t xml:space="preserve">개</t>
  </si>
  <si>
    <r>
      <rPr>
        <sz val="10"/>
        <color rgb="FF000000"/>
        <rFont val="WenQuanYi Zen Hei"/>
        <family val="2"/>
      </rPr>
      <t xml:space="preserve">계약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후 입주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설치</t>
    </r>
  </si>
  <si>
    <t xml:space="preserve">fte</t>
  </si>
  <si>
    <r>
      <rPr>
        <sz val="10"/>
        <color rgb="FF000000"/>
        <rFont val="WenQuanYi Zen Hei"/>
        <family val="2"/>
      </rPr>
      <t xml:space="preserve">평균 인원 </t>
    </r>
    <r>
      <rPr>
        <sz val="10"/>
        <color rgb="FF000000"/>
        <rFont val="Arial"/>
        <family val="0"/>
        <charset val="1"/>
      </rPr>
      <t xml:space="preserve">(FTE)</t>
    </r>
  </si>
  <si>
    <t xml:space="preserve">명</t>
  </si>
  <si>
    <r>
      <rPr>
        <sz val="10"/>
        <color rgb="FF000000"/>
        <rFont val="Arial"/>
        <family val="0"/>
        <charset val="1"/>
      </rPr>
      <t xml:space="preserve">Y1~Y2 = </t>
    </r>
    <r>
      <rPr>
        <sz val="10"/>
        <color rgb="FF000000"/>
        <rFont val="WenQuanYi Zen Hei"/>
        <family val="2"/>
      </rPr>
      <t xml:space="preserve">팀 계획 </t>
    </r>
    <r>
      <rPr>
        <sz val="10"/>
        <color rgb="FF000000"/>
        <rFont val="Arial"/>
        <family val="0"/>
        <charset val="1"/>
      </rPr>
      <t xml:space="preserve">(Budget_24M, Founder 2 + </t>
    </r>
    <r>
      <rPr>
        <sz val="10"/>
        <color rgb="FF000000"/>
        <rFont val="WenQuanYi Zen Hei"/>
        <family val="2"/>
      </rPr>
      <t xml:space="preserve">신규 채용</t>
    </r>
    <r>
      <rPr>
        <sz val="10"/>
        <color rgb="FF000000"/>
        <rFont val="Arial"/>
        <family val="0"/>
        <charset val="1"/>
      </rPr>
      <t xml:space="preserve">) · Y3</t>
    </r>
    <r>
      <rPr>
        <sz val="10"/>
        <color rgb="FF000000"/>
        <rFont val="WenQuanYi Zen Hei"/>
        <family val="2"/>
      </rPr>
      <t xml:space="preserve">부터 </t>
    </r>
    <r>
      <rPr>
        <sz val="10"/>
        <color rgb="FF000000"/>
        <rFont val="Arial"/>
        <family val="0"/>
        <charset val="1"/>
      </rPr>
      <t xml:space="preserve">Series A </t>
    </r>
    <r>
      <rPr>
        <sz val="10"/>
        <color rgb="FF000000"/>
        <rFont val="WenQuanYi Zen Hei"/>
        <family val="2"/>
      </rPr>
      <t xml:space="preserve">전제</t>
    </r>
  </si>
  <si>
    <t xml:space="preserve">loaded</t>
  </si>
  <si>
    <r>
      <rPr>
        <sz val="10"/>
        <color rgb="FF000000"/>
        <rFont val="WenQuanYi Zen Hei"/>
        <family val="2"/>
      </rPr>
      <t xml:space="preserve">인당 연 인건비 </t>
    </r>
    <r>
      <rPr>
        <sz val="10"/>
        <color rgb="FF000000"/>
        <rFont val="Arial"/>
        <family val="0"/>
        <charset val="1"/>
      </rPr>
      <t xml:space="preserve">(4</t>
    </r>
    <r>
      <rPr>
        <sz val="10"/>
        <color rgb="FF000000"/>
        <rFont val="WenQuanYi Zen Hei"/>
        <family val="2"/>
      </rPr>
      <t xml:space="preserve">대보험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퇴직급여 포함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평균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</si>
  <si>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Y1~Y2 = </t>
    </r>
    <r>
      <rPr>
        <sz val="10"/>
        <color rgb="FF000000"/>
        <rFont val="WenQuanYi Zen Hei"/>
        <family val="2"/>
      </rPr>
      <t xml:space="preserve">팀 계획 가중평균 </t>
    </r>
    <r>
      <rPr>
        <sz val="10"/>
        <color rgb="FF000000"/>
        <rFont val="Arial"/>
        <family val="0"/>
        <charset val="1"/>
      </rPr>
      <t xml:space="preserve">· Y3~ </t>
    </r>
    <r>
      <rPr>
        <sz val="10"/>
        <color rgb="FF000000"/>
        <rFont val="WenQuanYi Zen Hei"/>
        <family val="2"/>
      </rPr>
      <t xml:space="preserve">평균 연봉 약 </t>
    </r>
    <r>
      <rPr>
        <sz val="10"/>
        <color rgb="FF000000"/>
        <rFont val="Arial"/>
        <family val="0"/>
        <charset val="1"/>
      </rPr>
      <t xml:space="preserve">7,100</t>
    </r>
    <r>
      <rPr>
        <sz val="10"/>
        <color rgb="FF000000"/>
        <rFont val="WenQuanYi Zen Hei"/>
        <family val="2"/>
      </rPr>
      <t xml:space="preserve">만원 </t>
    </r>
    <r>
      <rPr>
        <sz val="10"/>
        <color rgb="FF000000"/>
        <rFont val="Arial"/>
        <family val="0"/>
        <charset val="1"/>
      </rPr>
      <t xml:space="preserve">× 1.2</t>
    </r>
  </si>
  <si>
    <t xml:space="preserve">robot_hw</t>
  </si>
  <si>
    <r>
      <rPr>
        <sz val="10"/>
        <color rgb="FF000000"/>
        <rFont val="Arial"/>
        <family val="0"/>
        <charset val="1"/>
      </rPr>
      <t xml:space="preserve">Robot Hardware (R&amp;D </t>
    </r>
    <r>
      <rPr>
        <sz val="10"/>
        <color rgb="FF000000"/>
        <rFont val="WenQuanYi Zen Hei"/>
        <family val="2"/>
      </rPr>
      <t xml:space="preserve">로봇 셀</t>
    </r>
    <r>
      <rPr>
        <sz val="10"/>
        <color rgb="FF000000"/>
        <rFont val="Arial"/>
        <family val="0"/>
        <charset val="1"/>
      </rPr>
      <t xml:space="preserve">)</t>
    </r>
  </si>
  <si>
    <t xml:space="preserve">hand_proto</t>
  </si>
  <si>
    <r>
      <rPr>
        <sz val="10"/>
        <color rgb="FF000000"/>
        <rFont val="Arial"/>
        <family val="0"/>
        <charset val="1"/>
      </rPr>
      <t xml:space="preserve">Hand Prototype (</t>
    </r>
    <r>
      <rPr>
        <sz val="10"/>
        <color rgb="FF000000"/>
        <rFont val="WenQuanYi Zen Hei"/>
        <family val="2"/>
      </rPr>
      <t xml:space="preserve">비교군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자체 </t>
    </r>
    <r>
      <rPr>
        <sz val="10"/>
        <color rgb="FF000000"/>
        <rFont val="Arial"/>
        <family val="0"/>
        <charset val="1"/>
      </rPr>
      <t xml:space="preserve">Hand v1~v3)</t>
    </r>
  </si>
  <si>
    <t xml:space="preserve">mockup</t>
  </si>
  <si>
    <r>
      <rPr>
        <sz val="10"/>
        <color rgb="FF000000"/>
        <rFont val="Arial"/>
        <family val="0"/>
        <charset val="1"/>
      </rPr>
      <t xml:space="preserve">Kitchen Mock-up (</t>
    </r>
    <r>
      <rPr>
        <sz val="10"/>
        <color rgb="FF000000"/>
        <rFont val="WenQuanYi Zen Hei"/>
        <family val="2"/>
      </rPr>
      <t xml:space="preserve">실물 크기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)</t>
    </r>
  </si>
  <si>
    <t xml:space="preserve">swdata</t>
  </si>
  <si>
    <t xml:space="preserve">Software · Data (GPU · Cloud · Annotation)</t>
  </si>
  <si>
    <t xml:space="preserve">pilot</t>
  </si>
  <si>
    <r>
      <rPr>
        <sz val="10"/>
        <color rgb="FF000000"/>
        <rFont val="Arial"/>
        <family val="0"/>
        <charset val="1"/>
      </rPr>
      <t xml:space="preserve">Pilot </t>
    </r>
    <r>
      <rPr>
        <sz val="10"/>
        <color rgb="FF000000"/>
        <rFont val="WenQuanYi Zen Hei"/>
        <family val="2"/>
      </rPr>
      <t xml:space="preserve">운영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실증 하드웨어 제외</t>
    </r>
    <r>
      <rPr>
        <sz val="10"/>
        <color rgb="FF000000"/>
        <rFont val="Arial"/>
        <family val="0"/>
        <charset val="1"/>
      </rPr>
      <t xml:space="preserve">)</t>
    </r>
  </si>
  <si>
    <t xml:space="preserve">custval</t>
  </si>
  <si>
    <t xml:space="preserve">Customer Validation · Partner · Marketing</t>
  </si>
  <si>
    <t xml:space="preserve">cert</t>
  </si>
  <si>
    <t xml:space="preserve">Safety · Certification</t>
  </si>
  <si>
    <r>
      <rPr>
        <sz val="10"/>
        <color rgb="FF000000"/>
        <rFont val="Arial"/>
        <family val="0"/>
        <charset val="1"/>
      </rPr>
      <t xml:space="preserve">Y3 </t>
    </r>
    <r>
      <rPr>
        <sz val="10"/>
        <color rgb="FF000000"/>
        <rFont val="WenQuanYi Zen Hei"/>
        <family val="2"/>
      </rPr>
      <t xml:space="preserve">본인증</t>
    </r>
  </si>
  <si>
    <t xml:space="preserve">ip</t>
  </si>
  <si>
    <r>
      <rPr>
        <sz val="10"/>
        <color rgb="FF000000"/>
        <rFont val="Arial"/>
        <family val="0"/>
        <charset val="1"/>
      </rPr>
      <t xml:space="preserve">IP (</t>
    </r>
    <r>
      <rPr>
        <sz val="10"/>
        <color rgb="FF000000"/>
        <rFont val="WenQuanYi Zen Hei"/>
        <family val="2"/>
      </rPr>
      <t xml:space="preserve">선행기술조사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출원</t>
    </r>
    <r>
      <rPr>
        <sz val="10"/>
        <color rgb="FF000000"/>
        <rFont val="Arial"/>
        <family val="0"/>
        <charset val="1"/>
      </rPr>
      <t xml:space="preserve">)</t>
    </r>
  </si>
  <si>
    <t xml:space="preserve">space</t>
  </si>
  <si>
    <r>
      <rPr>
        <sz val="10"/>
        <color rgb="FF000000"/>
        <rFont val="Arial"/>
        <family val="0"/>
        <charset val="1"/>
      </rPr>
      <t xml:space="preserve">Space (</t>
    </r>
    <r>
      <rPr>
        <sz val="10"/>
        <color rgb="FF000000"/>
        <rFont val="WenQuanYi Zen Hei"/>
        <family val="2"/>
      </rPr>
      <t xml:space="preserve">실험실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목업 공간</t>
    </r>
    <r>
      <rPr>
        <sz val="10"/>
        <color rgb="FF000000"/>
        <rFont val="Arial"/>
        <family val="0"/>
        <charset val="1"/>
      </rPr>
      <t xml:space="preserve">)</t>
    </r>
  </si>
  <si>
    <t xml:space="preserve">ga</t>
  </si>
  <si>
    <r>
      <rPr>
        <sz val="10"/>
        <color rgb="FF000000"/>
        <rFont val="Arial"/>
        <family val="0"/>
        <charset val="1"/>
      </rPr>
      <t xml:space="preserve">Operating · G&amp;A (</t>
    </r>
    <r>
      <rPr>
        <sz val="10"/>
        <color rgb="FF000000"/>
        <rFont val="WenQuanYi Zen Hei"/>
        <family val="2"/>
      </rPr>
      <t xml:space="preserve">법무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회계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보험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사무</t>
    </r>
    <r>
      <rPr>
        <sz val="10"/>
        <color rgb="FF000000"/>
        <rFont val="Arial"/>
        <family val="0"/>
        <charset val="1"/>
      </rPr>
      <t xml:space="preserve">)</t>
    </r>
  </si>
  <si>
    <t xml:space="preserve">contingency</t>
  </si>
  <si>
    <r>
      <rPr>
        <sz val="10"/>
        <color rgb="FF000000"/>
        <rFont val="WenQuanYi Zen Hei"/>
        <family val="2"/>
      </rPr>
      <t xml:space="preserve">예비비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인건비 외 지출의 </t>
    </r>
    <r>
      <rPr>
        <sz val="10"/>
        <color rgb="FF000000"/>
        <rFont val="Arial"/>
        <family val="0"/>
        <charset val="1"/>
      </rPr>
      <t xml:space="preserve">10%, Y1~Y2)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</si>
  <si>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</si>
  <si>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개월 계획의 하드웨어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일정 </t>
    </r>
    <r>
      <rPr>
        <sz val="10"/>
        <color rgb="FF000000"/>
        <rFont val="Arial"/>
        <family val="0"/>
        <charset val="1"/>
      </rPr>
      <t xml:space="preserve">Risk </t>
    </r>
    <r>
      <rPr>
        <sz val="10"/>
        <color rgb="FF000000"/>
        <rFont val="WenQuanYi Zen Hei"/>
        <family val="2"/>
      </rPr>
      <t xml:space="preserve">대비</t>
    </r>
  </si>
  <si>
    <t xml:space="preserve">rnd_allow</t>
  </si>
  <si>
    <r>
      <rPr>
        <sz val="10"/>
        <color rgb="FF000000"/>
        <rFont val="WenQuanYi Zen Hei"/>
        <family val="2"/>
      </rPr>
      <t xml:space="preserve">연구수당 </t>
    </r>
    <r>
      <rPr>
        <sz val="10"/>
        <color rgb="FF000000"/>
        <rFont val="Arial"/>
        <family val="0"/>
        <charset val="1"/>
      </rPr>
      <t xml:space="preserve">(TIPS </t>
    </r>
    <r>
      <rPr>
        <sz val="10"/>
        <color rgb="FF000000"/>
        <rFont val="WenQuanYi Zen Hei"/>
        <family val="2"/>
      </rPr>
      <t xml:space="preserve">과제 현금 인건비 </t>
    </r>
    <r>
      <rPr>
        <sz val="10"/>
        <color rgb="FF000000"/>
        <rFont val="Arial"/>
        <family val="0"/>
        <charset val="1"/>
      </rPr>
      <t xml:space="preserve">× 5%)</t>
    </r>
  </si>
  <si>
    <r>
      <rPr>
        <sz val="10"/>
        <color rgb="FF000000"/>
        <rFont val="Arial"/>
        <family val="0"/>
        <charset val="1"/>
      </rPr>
      <t xml:space="preserve">TIPS </t>
    </r>
    <r>
      <rPr>
        <sz val="10"/>
        <color rgb="FF000000"/>
        <rFont val="WenQuanYi Zen Hei"/>
        <family val="2"/>
      </rPr>
      <t xml:space="preserve">선정 시</t>
    </r>
  </si>
  <si>
    <r>
      <rPr>
        <b val="true"/>
        <sz val="14"/>
        <rFont val="Arial"/>
        <family val="0"/>
        <charset val="1"/>
      </rPr>
      <t xml:space="preserve">5-Year Bottom-up Model — Conservative 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</si>
  <si>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모든 입력은 </t>
    </r>
    <r>
      <rPr>
        <sz val="10"/>
        <color rgb="FF000000"/>
        <rFont val="Arial"/>
        <family val="0"/>
        <charset val="1"/>
      </rPr>
      <t xml:space="preserve">Inputs / Inputs_Yearly</t>
    </r>
    <r>
      <rPr>
        <sz val="10"/>
        <color rgb="FF000000"/>
        <rFont val="WenQuanYi Zen Hei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Conservative 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행을 참조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녹색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영업이익은 이자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세금 제외 근사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</si>
  <si>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5Y </t>
    </r>
    <r>
      <rPr>
        <b val="true"/>
        <sz val="10"/>
        <color rgb="FFFFFFFF"/>
        <rFont val="WenQuanYi Zen Hei"/>
        <family val="2"/>
      </rPr>
      <t xml:space="preserve">합계</t>
    </r>
  </si>
  <si>
    <r>
      <rPr>
        <sz val="10"/>
        <color rgb="FF000000"/>
        <rFont val="Arial"/>
        <family val="0"/>
        <charset val="1"/>
      </rPr>
      <t xml:space="preserve">Remodeling — MH </t>
    </r>
    <r>
      <rPr>
        <sz val="10"/>
        <color rgb="FF000000"/>
        <rFont val="WenQuanYi Zen Hei"/>
        <family val="2"/>
      </rPr>
      <t xml:space="preserve">직접 판매</t>
    </r>
  </si>
  <si>
    <r>
      <rPr>
        <sz val="10"/>
        <color rgb="FF000000"/>
        <rFont val="Arial"/>
        <family val="0"/>
        <charset val="1"/>
      </rPr>
      <t xml:space="preserve">Remodeling — Partner </t>
    </r>
    <r>
      <rPr>
        <sz val="10"/>
        <color rgb="FF000000"/>
        <rFont val="WenQuanYi Zen Hei"/>
        <family val="2"/>
      </rPr>
      <t xml:space="preserve">경유</t>
    </r>
  </si>
  <si>
    <t xml:space="preserve">Existing Kitchen Retrofit</t>
  </si>
  <si>
    <r>
      <rPr>
        <sz val="10"/>
        <color rgb="FF000000"/>
        <rFont val="Arial"/>
        <family val="0"/>
        <charset val="1"/>
      </rPr>
      <t xml:space="preserve">New-build Interface Option </t>
    </r>
    <r>
      <rPr>
        <sz val="10"/>
        <color rgb="FF000000"/>
        <rFont val="WenQuanYi Zen Hei"/>
        <family val="2"/>
      </rPr>
      <t xml:space="preserve">입주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후</t>
    </r>
    <r>
      <rPr>
        <sz val="10"/>
        <color rgb="FF000000"/>
        <rFont val="Arial"/>
        <family val="0"/>
        <charset val="1"/>
      </rPr>
      <t xml:space="preserve">)</t>
    </r>
  </si>
  <si>
    <t xml:space="preserve">설치 세대 합계</t>
  </si>
  <si>
    <t xml:space="preserve">Robot Attach Rate (Remodeling)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</si>
  <si>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선설치 세대 </t>
    </r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후설치</t>
    </r>
  </si>
  <si>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설치 — </t>
    </r>
    <r>
      <rPr>
        <sz val="10"/>
        <color rgb="FF000000"/>
        <rFont val="Arial"/>
        <family val="0"/>
        <charset val="1"/>
      </rPr>
      <t xml:space="preserve">Remodeling</t>
    </r>
  </si>
  <si>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설치 — </t>
    </r>
    <r>
      <rPr>
        <sz val="10"/>
        <color rgb="FF000000"/>
        <rFont val="Arial"/>
        <family val="0"/>
        <charset val="1"/>
      </rPr>
      <t xml:space="preserve">New-build </t>
    </r>
    <r>
      <rPr>
        <sz val="10"/>
        <color rgb="FF000000"/>
        <rFont val="WenQuanYi Zen Hei"/>
        <family val="2"/>
      </rPr>
      <t xml:space="preserve">입주</t>
    </r>
  </si>
  <si>
    <r>
      <rPr>
        <b val="true"/>
        <sz val="10"/>
        <rFont val="Arial"/>
        <family val="0"/>
        <charset val="1"/>
      </rPr>
      <t xml:space="preserve">Robot </t>
    </r>
    <r>
      <rPr>
        <b val="true"/>
        <sz val="10"/>
        <rFont val="WenQuanYi Zen Hei"/>
        <family val="2"/>
      </rPr>
      <t xml:space="preserve">설치 합계 </t>
    </r>
    <r>
      <rPr>
        <b val="true"/>
        <sz val="10"/>
        <rFont val="Arial"/>
        <family val="0"/>
        <charset val="1"/>
      </rPr>
      <t xml:space="preserve">(Retrofit </t>
    </r>
    <r>
      <rPr>
        <b val="true"/>
        <sz val="10"/>
        <rFont val="WenQuanYi Zen Hei"/>
        <family val="2"/>
      </rPr>
      <t xml:space="preserve">포함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</si>
  <si>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비중</t>
    </r>
  </si>
  <si>
    <r>
      <rPr>
        <sz val="10"/>
        <color rgb="FF000000"/>
        <rFont val="Arial"/>
        <family val="0"/>
        <charset val="1"/>
      </rPr>
      <t xml:space="preserve">Rental Partner </t>
    </r>
    <r>
      <rPr>
        <sz val="10"/>
        <color rgb="FF000000"/>
        <rFont val="WenQuanYi Zen Hei"/>
        <family val="2"/>
      </rPr>
      <t xml:space="preserve">보유 </t>
    </r>
    <r>
      <rPr>
        <sz val="10"/>
        <color rgb="FF000000"/>
        <rFont val="Arial"/>
        <family val="0"/>
        <charset val="1"/>
      </rPr>
      <t xml:space="preserve">Flag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</si>
  <si>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설치</t>
    </r>
  </si>
  <si>
    <t xml:space="preserve">구매 설치</t>
  </si>
  <si>
    <r>
      <rPr>
        <sz val="10"/>
        <color rgb="FF000000"/>
        <rFont val="Arial"/>
        <family val="0"/>
        <charset val="1"/>
      </rPr>
      <t xml:space="preserve">Rental — MH </t>
    </r>
    <r>
      <rPr>
        <sz val="10"/>
        <color rgb="FF000000"/>
        <rFont val="WenQuanYi Zen Hei"/>
        <family val="2"/>
      </rPr>
      <t xml:space="preserve">보유 </t>
    </r>
    <r>
      <rPr>
        <sz val="10"/>
        <color rgb="FF000000"/>
        <rFont val="Arial"/>
        <family val="0"/>
        <charset val="1"/>
      </rPr>
      <t xml:space="preserve">(Pilot)</t>
    </r>
  </si>
  <si>
    <r>
      <rPr>
        <sz val="10"/>
        <color rgb="FF000000"/>
        <rFont val="Arial"/>
        <family val="0"/>
        <charset val="1"/>
      </rPr>
      <t xml:space="preserve">Rental — Partner </t>
    </r>
    <r>
      <rPr>
        <sz val="10"/>
        <color rgb="FF000000"/>
        <rFont val="WenQuanYi Zen Hei"/>
        <family val="2"/>
      </rPr>
      <t xml:space="preserve">보유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</si>
  <si>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선설치 </t>
    </r>
    <r>
      <rPr>
        <sz val="10"/>
        <color rgb="FF000000"/>
        <rFont val="Arial"/>
        <family val="0"/>
        <charset val="1"/>
      </rPr>
      <t xml:space="preserve">(Robot </t>
    </r>
    <r>
      <rPr>
        <sz val="10"/>
        <color rgb="FF000000"/>
        <rFont val="WenQuanYi Zen Hei"/>
        <family val="2"/>
      </rPr>
      <t xml:space="preserve">미설치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누적</t>
    </r>
  </si>
  <si>
    <r>
      <rPr>
        <sz val="10"/>
        <color rgb="FF000000"/>
        <rFont val="WenQuanYi Zen Hei"/>
        <family val="2"/>
      </rPr>
      <t xml:space="preserve">구매 </t>
    </r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누적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</si>
  <si>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구매 </t>
    </r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평균 가동</t>
    </r>
  </si>
  <si>
    <r>
      <rPr>
        <sz val="10"/>
        <color rgb="FF000000"/>
        <rFont val="Arial"/>
        <family val="0"/>
        <charset val="1"/>
      </rPr>
      <t xml:space="preserve">MH Rental </t>
    </r>
    <r>
      <rPr>
        <sz val="10"/>
        <color rgb="FF000000"/>
        <rFont val="WenQuanYi Zen Hei"/>
        <family val="2"/>
      </rPr>
      <t xml:space="preserve">누적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</si>
  <si>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MH Rental </t>
    </r>
    <r>
      <rPr>
        <sz val="10"/>
        <color rgb="FF000000"/>
        <rFont val="WenQuanYi Zen Hei"/>
        <family val="2"/>
      </rPr>
      <t xml:space="preserve">평균 가동</t>
    </r>
  </si>
  <si>
    <r>
      <rPr>
        <sz val="10"/>
        <color rgb="FF000000"/>
        <rFont val="Arial"/>
        <family val="0"/>
        <charset val="1"/>
      </rPr>
      <t xml:space="preserve">Partner Rental </t>
    </r>
    <r>
      <rPr>
        <sz val="10"/>
        <color rgb="FF000000"/>
        <rFont val="WenQuanYi Zen Hei"/>
        <family val="2"/>
      </rPr>
      <t xml:space="preserve">누적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</si>
  <si>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Partner Rental </t>
    </r>
    <r>
      <rPr>
        <sz val="10"/>
        <color rgb="FF000000"/>
        <rFont val="WenQuanYi Zen Hei"/>
        <family val="2"/>
      </rPr>
      <t xml:space="preserve">평균 가동</t>
    </r>
  </si>
  <si>
    <r>
      <rPr>
        <sz val="10"/>
        <color rgb="FF000000"/>
        <rFont val="WenQuanYi Zen Hei"/>
        <family val="2"/>
      </rPr>
      <t xml:space="preserve">신축 계약 </t>
    </r>
    <r>
      <rPr>
        <sz val="10"/>
        <color rgb="FF000000"/>
        <rFont val="Arial"/>
        <family val="0"/>
        <charset val="1"/>
      </rPr>
      <t xml:space="preserve">Backlog (</t>
    </r>
    <r>
      <rPr>
        <sz val="10"/>
        <color rgb="FF000000"/>
        <rFont val="WenQuanYi Zen Hei"/>
        <family val="2"/>
      </rPr>
      <t xml:space="preserve">미설치 세대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</si>
  <si>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REVENUE (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Arial"/>
        <family val="0"/>
        <charset val="1"/>
      </rPr>
      <t xml:space="preserve">) — INSTALL / OPERATE / EXPAND</t>
    </r>
  </si>
  <si>
    <t xml:space="preserve">가격 실현율</t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</si>
  <si>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연 </t>
    </r>
    <r>
      <rPr>
        <sz val="10"/>
        <color rgb="FF000000"/>
        <rFont val="Arial"/>
        <family val="0"/>
        <charset val="1"/>
      </rPr>
      <t xml:space="preserve">List (</t>
    </r>
    <r>
      <rPr>
        <sz val="10"/>
        <color rgb="FF000000"/>
        <rFont val="WenQuanYi Zen Hei"/>
        <family val="2"/>
      </rPr>
      <t xml:space="preserve">구매 고객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</si>
  <si>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연 </t>
    </r>
    <r>
      <rPr>
        <sz val="10"/>
        <color rgb="FF000000"/>
        <rFont val="Arial"/>
        <family val="0"/>
        <charset val="1"/>
      </rPr>
      <t xml:space="preserve">List (Rental, Grip </t>
    </r>
    <r>
      <rPr>
        <sz val="10"/>
        <color rgb="FF000000"/>
        <rFont val="WenQuanYi Zen Hei"/>
        <family val="2"/>
      </rPr>
      <t xml:space="preserve">제외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</si>
  <si>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Grip Kit </t>
    </r>
    <r>
      <rPr>
        <sz val="10"/>
        <color rgb="FF000000"/>
        <rFont val="WenQuanYi Zen Hei"/>
        <family val="2"/>
      </rPr>
      <t xml:space="preserve">연 </t>
    </r>
    <r>
      <rPr>
        <sz val="10"/>
        <color rgb="FF000000"/>
        <rFont val="Arial"/>
        <family val="0"/>
        <charset val="1"/>
      </rPr>
      <t xml:space="preserve">List</t>
    </r>
  </si>
  <si>
    <t xml:space="preserve">INSTALL. Interface · Integration</t>
  </si>
  <si>
    <t xml:space="preserve">INSTALL. Installation · Calibration</t>
  </si>
  <si>
    <r>
      <rPr>
        <sz val="10"/>
        <color rgb="FF000000"/>
        <rFont val="Arial"/>
        <family val="0"/>
        <charset val="1"/>
      </rPr>
      <t xml:space="preserve">INSTALL. Robot System (</t>
    </r>
    <r>
      <rPr>
        <sz val="10"/>
        <color rgb="FF000000"/>
        <rFont val="WenQuanYi Zen Hei"/>
        <family val="2"/>
      </rPr>
      <t xml:space="preserve">구매 </t>
    </r>
    <r>
      <rPr>
        <sz val="10"/>
        <color rgb="FF000000"/>
        <rFont val="Arial"/>
        <family val="0"/>
        <charset val="1"/>
      </rPr>
      <t xml:space="preserve">+ Rental Partner </t>
    </r>
    <r>
      <rPr>
        <sz val="10"/>
        <color rgb="FF000000"/>
        <rFont val="WenQuanYi Zen Hei"/>
        <family val="2"/>
      </rPr>
      <t xml:space="preserve">공급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</si>
  <si>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OPERATE. Rental (MH </t>
    </r>
    <r>
      <rPr>
        <sz val="10"/>
        <color rgb="FF000000"/>
        <rFont val="WenQuanYi Zen Hei"/>
        <family val="2"/>
      </rPr>
      <t xml:space="preserve">보유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</si>
  <si>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OPERATE. Care (</t>
    </r>
    <r>
      <rPr>
        <sz val="10"/>
        <color rgb="FF000000"/>
        <rFont val="WenQuanYi Zen Hei"/>
        <family val="2"/>
      </rPr>
      <t xml:space="preserve">구매 고객 </t>
    </r>
    <r>
      <rPr>
        <sz val="10"/>
        <color rgb="FF000000"/>
        <rFont val="Arial"/>
        <family val="0"/>
        <charset val="1"/>
      </rPr>
      <t xml:space="preserve">+ Partner </t>
    </r>
    <r>
      <rPr>
        <sz val="10"/>
        <color rgb="FF000000"/>
        <rFont val="WenQuanYi Zen Hei"/>
        <family val="2"/>
      </rPr>
      <t xml:space="preserve">서비스료</t>
    </r>
    <r>
      <rPr>
        <sz val="10"/>
        <color rgb="FF000000"/>
        <rFont val="Arial"/>
        <family val="0"/>
        <charset val="1"/>
      </rPr>
      <t xml:space="preserve">)</t>
    </r>
  </si>
  <si>
    <t xml:space="preserve">OPERATE. Consumables</t>
  </si>
  <si>
    <t xml:space="preserve">EXPAND. Skill + Tool</t>
  </si>
  <si>
    <t xml:space="preserve">매출 합계</t>
  </si>
  <si>
    <r>
      <rPr>
        <b val="true"/>
        <sz val="10"/>
        <rFont val="Arial"/>
        <family val="0"/>
        <charset val="1"/>
      </rPr>
      <t xml:space="preserve">COGS (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</si>
  <si>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Interface Kit </t>
    </r>
    <r>
      <rPr>
        <sz val="10"/>
        <color rgb="FF000000"/>
        <rFont val="WenQuanYi Zen Hei"/>
        <family val="2"/>
      </rPr>
      <t xml:space="preserve">원가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세대 </t>
    </r>
    <r>
      <rPr>
        <sz val="10"/>
        <color rgb="FF000000"/>
        <rFont val="Arial"/>
        <family val="0"/>
        <charset val="1"/>
      </rPr>
      <t xml:space="preserve">(Remodeling)</t>
    </r>
  </si>
  <si>
    <r>
      <rPr>
        <sz val="10"/>
        <color rgb="FF000000"/>
        <rFont val="Arial"/>
        <family val="0"/>
        <charset val="1"/>
      </rPr>
      <t xml:space="preserve">Robot BOM/</t>
    </r>
    <r>
      <rPr>
        <sz val="10"/>
        <color rgb="FF000000"/>
        <rFont val="WenQuanYi Zen Hei"/>
        <family val="2"/>
      </rPr>
      <t xml:space="preserve">대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</si>
  <si>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원가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</si>
  <si>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(3</t>
    </r>
    <r>
      <rPr>
        <sz val="10"/>
        <color rgb="FF000000"/>
        <rFont val="WenQuanYi Zen Hei"/>
        <family val="2"/>
      </rPr>
      <t xml:space="preserve">개 채널</t>
    </r>
    <r>
      <rPr>
        <sz val="10"/>
        <color rgb="FF000000"/>
        <rFont val="Arial"/>
        <family val="0"/>
        <charset val="1"/>
      </rPr>
      <t xml:space="preserve">)</t>
    </r>
  </si>
  <si>
    <t xml:space="preserve">물류</t>
  </si>
  <si>
    <r>
      <rPr>
        <sz val="10"/>
        <color rgb="FF000000"/>
        <rFont val="Arial"/>
        <family val="0"/>
        <charset val="1"/>
      </rPr>
      <t xml:space="preserve">Robot BOM (</t>
    </r>
    <r>
      <rPr>
        <sz val="10"/>
        <color rgb="FF000000"/>
        <rFont val="WenQuanYi Zen Hei"/>
        <family val="2"/>
      </rPr>
      <t xml:space="preserve">판매분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</si>
  <si>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Installation · Calibration </t>
    </r>
    <r>
      <rPr>
        <sz val="10"/>
        <color rgb="FF000000"/>
        <rFont val="WenQuanYi Zen Hei"/>
        <family val="2"/>
      </rPr>
      <t xml:space="preserve">원가</t>
    </r>
  </si>
  <si>
    <t xml:space="preserve">Warranty Reserve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</si>
  <si>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취득 </t>
    </r>
    <r>
      <rPr>
        <sz val="10"/>
        <color rgb="FF000000"/>
        <rFont val="Arial"/>
        <family val="0"/>
        <charset val="1"/>
      </rPr>
      <t xml:space="preserve">(MH </t>
    </r>
    <r>
      <rPr>
        <sz val="10"/>
        <color rgb="FF000000"/>
        <rFont val="WenQuanYi Zen Hei"/>
        <family val="2"/>
      </rPr>
      <t xml:space="preserve">보유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</si>
  <si>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누적 취득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</si>
  <si>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감가상각</t>
    </r>
  </si>
  <si>
    <r>
      <rPr>
        <sz val="10"/>
        <color rgb="FF000000"/>
        <rFont val="Arial"/>
        <family val="0"/>
        <charset val="1"/>
      </rPr>
      <t xml:space="preserve">Care Service </t>
    </r>
    <r>
      <rPr>
        <sz val="10"/>
        <color rgb="FF000000"/>
        <rFont val="WenQuanYi Zen Hei"/>
        <family val="2"/>
      </rPr>
      <t xml:space="preserve">원가</t>
    </r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</si>
  <si>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(Rental Grip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</si>
  <si>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Skill · Tool </t>
    </r>
    <r>
      <rPr>
        <sz val="10"/>
        <color rgb="FF000000"/>
        <rFont val="WenQuanYi Zen Hei"/>
        <family val="2"/>
      </rPr>
      <t xml:space="preserve">원가</t>
    </r>
  </si>
  <si>
    <r>
      <rPr>
        <sz val="10"/>
        <color rgb="FF000000"/>
        <rFont val="Arial"/>
        <family val="0"/>
        <charset val="1"/>
      </rPr>
      <t xml:space="preserve">COGS </t>
    </r>
    <r>
      <rPr>
        <sz val="10"/>
        <color rgb="FF000000"/>
        <rFont val="WenQuanYi Zen Hei"/>
        <family val="2"/>
      </rPr>
      <t xml:space="preserve">합계</t>
    </r>
  </si>
  <si>
    <r>
      <rPr>
        <b val="true"/>
        <sz val="10"/>
        <rFont val="Arial"/>
        <family val="0"/>
        <charset val="1"/>
      </rPr>
      <t xml:space="preserve">CHANNEL · OPEX (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</si>
  <si>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Partner </t>
    </r>
    <r>
      <rPr>
        <sz val="10"/>
        <color rgb="FF000000"/>
        <rFont val="WenQuanYi Zen Hei"/>
        <family val="2"/>
      </rPr>
      <t xml:space="preserve">수수료 </t>
    </r>
    <r>
      <rPr>
        <sz val="10"/>
        <color rgb="FF000000"/>
        <rFont val="Arial"/>
        <family val="0"/>
        <charset val="1"/>
      </rPr>
      <t xml:space="preserve">(Remodeling Partner · Retrofit)</t>
    </r>
  </si>
  <si>
    <t xml:space="preserve">직접판매 획득비용</t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</si>
  <si>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수주비용</t>
    </r>
  </si>
  <si>
    <r>
      <rPr>
        <b val="true"/>
        <sz val="10"/>
        <rFont val="Arial"/>
        <family val="0"/>
        <charset val="1"/>
      </rPr>
      <t xml:space="preserve">Contribution (</t>
    </r>
    <r>
      <rPr>
        <b val="true"/>
        <sz val="10"/>
        <rFont val="WenQuanYi Zen Hei"/>
        <family val="2"/>
      </rPr>
      <t xml:space="preserve">매출총이익 − 채널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변동 판매비</t>
    </r>
    <r>
      <rPr>
        <b val="true"/>
        <sz val="10"/>
        <rFont val="Arial"/>
        <family val="0"/>
        <charset val="1"/>
      </rPr>
      <t xml:space="preserve">)</t>
    </r>
  </si>
  <si>
    <t xml:space="preserve">인건비</t>
  </si>
  <si>
    <r>
      <rPr>
        <sz val="10"/>
        <color rgb="FF000000"/>
        <rFont val="WenQuanYi Zen Hei"/>
        <family val="2"/>
      </rPr>
      <t xml:space="preserve">기타 운영비 </t>
    </r>
    <r>
      <rPr>
        <sz val="10"/>
        <color rgb="FF000000"/>
        <rFont val="Arial"/>
        <family val="0"/>
        <charset val="1"/>
      </rPr>
      <t xml:space="preserve">(Robot HW · Hand · Mock-up · SW · Pilot · </t>
    </r>
    <r>
      <rPr>
        <sz val="10"/>
        <color rgb="FF000000"/>
        <rFont val="WenQuanYi Zen Hei"/>
        <family val="2"/>
      </rPr>
      <t xml:space="preserve">고객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인증 </t>
    </r>
    <r>
      <rPr>
        <sz val="10"/>
        <color rgb="FF000000"/>
        <rFont val="Arial"/>
        <family val="0"/>
        <charset val="1"/>
      </rPr>
      <t xml:space="preserve">· IP · </t>
    </r>
    <r>
      <rPr>
        <sz val="10"/>
        <color rgb="FF000000"/>
        <rFont val="WenQuanYi Zen Hei"/>
        <family val="2"/>
      </rPr>
      <t xml:space="preserve">공간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관리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예비비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연구수당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</si>
  <si>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Opex </t>
    </r>
    <r>
      <rPr>
        <sz val="10"/>
        <color rgb="FF000000"/>
        <rFont val="WenQuanYi Zen Hei"/>
        <family val="2"/>
      </rPr>
      <t xml:space="preserve">합계</t>
    </r>
  </si>
  <si>
    <r>
      <rPr>
        <b val="true"/>
        <sz val="10"/>
        <rFont val="WenQuanYi Zen Hei"/>
        <family val="2"/>
      </rPr>
      <t xml:space="preserve">영업이익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근사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</si>
  <si>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현금흐름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영업이익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감가 − </t>
    </r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</t>
    </r>
    <r>
      <rPr>
        <sz val="10"/>
        <color rgb="FF000000"/>
        <rFont val="Arial"/>
        <family val="0"/>
        <charset val="1"/>
      </rPr>
      <t xml:space="preserve">)</t>
    </r>
  </si>
  <si>
    <t xml:space="preserve">MIX</t>
  </si>
  <si>
    <r>
      <rPr>
        <sz val="10"/>
        <color rgb="FF000000"/>
        <rFont val="Arial"/>
        <family val="0"/>
        <charset val="1"/>
      </rPr>
      <t xml:space="preserve">INSTALL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(Interface + </t>
    </r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Arial"/>
        <family val="0"/>
        <charset val="1"/>
      </rPr>
      <t xml:space="preserve">+ Robot)</t>
    </r>
  </si>
  <si>
    <r>
      <rPr>
        <sz val="10"/>
        <color rgb="FF000000"/>
        <rFont val="Arial"/>
        <family val="0"/>
        <charset val="1"/>
      </rPr>
      <t xml:space="preserve">Interface + </t>
    </r>
    <r>
      <rPr>
        <sz val="10"/>
        <color rgb="FF000000"/>
        <rFont val="WenQuanYi Zen Hei"/>
        <family val="2"/>
      </rPr>
      <t xml:space="preserve">설치 매출</t>
    </r>
  </si>
  <si>
    <r>
      <rPr>
        <sz val="10"/>
        <color rgb="FF000000"/>
        <rFont val="Arial"/>
        <family val="0"/>
        <charset val="1"/>
      </rPr>
      <t xml:space="preserve">OPERATE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(Rental + Care + Consumables)</t>
    </r>
  </si>
  <si>
    <r>
      <rPr>
        <sz val="10"/>
        <color rgb="FF000000"/>
        <rFont val="Arial"/>
        <family val="0"/>
        <charset val="1"/>
      </rPr>
      <t xml:space="preserve">EXPAND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(Skill + Tool)</t>
    </r>
  </si>
  <si>
    <r>
      <rPr>
        <b val="true"/>
        <sz val="10"/>
        <rFont val="Arial"/>
        <family val="0"/>
        <charset val="1"/>
      </rPr>
      <t xml:space="preserve">OPERATE + EXPAND </t>
    </r>
    <r>
      <rPr>
        <b val="true"/>
        <sz val="10"/>
        <rFont val="WenQuanYi Zen Hei"/>
        <family val="2"/>
      </rPr>
      <t xml:space="preserve">비중</t>
    </r>
  </si>
  <si>
    <r>
      <rPr>
        <sz val="10"/>
        <color rgb="FF000000"/>
        <rFont val="Arial"/>
        <family val="0"/>
        <charset val="1"/>
      </rPr>
      <t xml:space="preserve">Robot + Recurring + Upgrade </t>
    </r>
    <r>
      <rPr>
        <sz val="10"/>
        <color rgb="FF000000"/>
        <rFont val="WenQuanYi Zen Hei"/>
        <family val="2"/>
      </rPr>
      <t xml:space="preserve">비중</t>
    </r>
  </si>
  <si>
    <r>
      <rPr>
        <b val="true"/>
        <sz val="14"/>
        <rFont val="Arial"/>
        <family val="0"/>
        <charset val="1"/>
      </rPr>
      <t xml:space="preserve">5-Year Bottom-up Model — Base 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</si>
  <si>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모든 입력은 </t>
    </r>
    <r>
      <rPr>
        <sz val="10"/>
        <color rgb="FF000000"/>
        <rFont val="Arial"/>
        <family val="0"/>
        <charset val="1"/>
      </rPr>
      <t xml:space="preserve">Inputs / Inputs_Yearly</t>
    </r>
    <r>
      <rPr>
        <sz val="10"/>
        <color rgb="FF000000"/>
        <rFont val="WenQuanYi Zen Hei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행을 참조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녹색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영업이익은 이자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세금 제외 근사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</si>
  <si>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5-Year Bottom-up Model — Upside 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</si>
  <si>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모든 입력은 </t>
    </r>
    <r>
      <rPr>
        <sz val="10"/>
        <color rgb="FF000000"/>
        <rFont val="Arial"/>
        <family val="0"/>
        <charset val="1"/>
      </rPr>
      <t xml:space="preserve">Inputs / Inputs_Yearly</t>
    </r>
    <r>
      <rPr>
        <sz val="10"/>
        <color rgb="FF000000"/>
        <rFont val="WenQuanYi Zen Hei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Upside 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행을 참조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녹색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영업이익은 이자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세금 제외 근사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</si>
  <si>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Household Economics — </t>
    </r>
    <r>
      <rPr>
        <b val="true"/>
        <sz val="14"/>
        <rFont val="WenQuanYi Zen Hei"/>
        <family val="2"/>
      </rPr>
      <t xml:space="preserve">대표 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세대</t>
    </r>
    <r>
      <rPr>
        <b val="true"/>
        <sz val="14"/>
        <rFont val="Arial"/>
        <family val="0"/>
        <charset val="1"/>
      </rPr>
      <t xml:space="preserve">, 5</t>
    </r>
    <r>
      <rPr>
        <b val="true"/>
        <sz val="14"/>
        <rFont val="WenQuanYi Zen Hei"/>
        <family val="2"/>
      </rPr>
      <t xml:space="preserve">년</t>
    </r>
    <r>
      <rPr>
        <b val="true"/>
        <sz val="14"/>
        <rFont val="Arial"/>
        <family val="0"/>
        <charset val="1"/>
      </rPr>
      <t xml:space="preserve">, Base 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</si>
  <si>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기대값 기준 </t>
    </r>
    <r>
      <rPr>
        <sz val="11"/>
        <color theme="1"/>
        <rFont val="Calibri"/>
        <family val="2"/>
        <charset val="1"/>
      </rPr>
      <t xml:space="preserve">(Skill · Tool</t>
    </r>
    <r>
      <rPr>
        <sz val="11"/>
        <color theme="1"/>
        <rFont val="WenQuanYi Zen Hei"/>
        <family val="2"/>
      </rPr>
      <t xml:space="preserve">은 구매율 반영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WenQuanYi Zen Hei"/>
        <family val="2"/>
      </rPr>
      <t xml:space="preserve">구매 모델은 </t>
    </r>
    <r>
      <rPr>
        <sz val="11"/>
        <color theme="1"/>
        <rFont val="Calibri"/>
        <family val="2"/>
        <charset val="1"/>
      </rPr>
      <t xml:space="preserve">Care </t>
    </r>
    <r>
      <rPr>
        <sz val="11"/>
        <color theme="1"/>
        <rFont val="WenQuanYi Zen Hei"/>
        <family val="2"/>
      </rPr>
      <t xml:space="preserve">가입 세대 기준</t>
    </r>
    <r>
      <rPr>
        <sz val="11"/>
        <color theme="1"/>
        <rFont val="Calibri"/>
        <family val="2"/>
        <charset val="1"/>
      </rPr>
      <t xml:space="preserve">. Y3 / Y5 = </t>
    </r>
    <r>
      <rPr>
        <sz val="11"/>
        <color theme="1"/>
        <rFont val="WenQuanYi Zen Hei"/>
        <family val="2"/>
      </rPr>
      <t xml:space="preserve">해당 연도의 원가 수준을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년간 적용</t>
    </r>
    <r>
      <rPr>
        <sz val="11"/>
        <color theme="1"/>
        <rFont val="Calibri"/>
        <family val="2"/>
        <charset val="1"/>
      </rPr>
      <t xml:space="preserve">. Remodeling = </t>
    </r>
    <r>
      <rPr>
        <sz val="11"/>
        <color theme="1"/>
        <rFont val="WenQuanYi Zen Hei"/>
        <family val="2"/>
      </rPr>
      <t xml:space="preserve">직접판매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획득비용</t>
    </r>
    <r>
      <rPr>
        <sz val="11"/>
        <color theme="1"/>
        <rFont val="Calibri"/>
        <family val="2"/>
        <charset val="1"/>
      </rPr>
      <t xml:space="preserve">), Retrofit = Partner </t>
    </r>
    <r>
      <rPr>
        <sz val="11"/>
        <color theme="1"/>
        <rFont val="WenQuanYi Zen Hei"/>
        <family val="2"/>
      </rPr>
      <t xml:space="preserve">경유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수수료</t>
    </r>
    <r>
      <rPr>
        <sz val="11"/>
        <color theme="1"/>
        <rFont val="Calibri"/>
        <family val="2"/>
        <charset val="1"/>
      </rPr>
      <t xml:space="preserve">), New-build = Project </t>
    </r>
    <r>
      <rPr>
        <sz val="11"/>
        <color theme="1"/>
        <rFont val="WenQuanYi Zen Hei"/>
        <family val="2"/>
      </rPr>
      <t xml:space="preserve">수주비용 </t>
    </r>
    <r>
      <rPr>
        <sz val="11"/>
        <color theme="1"/>
        <rFont val="Calibri"/>
        <family val="2"/>
        <charset val="1"/>
      </rPr>
      <t xml:space="preserve">÷ Option </t>
    </r>
    <r>
      <rPr>
        <sz val="11"/>
        <color theme="1"/>
        <rFont val="WenQuanYi Zen Hei"/>
        <family val="2"/>
      </rPr>
      <t xml:space="preserve">세대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</si>
  <si>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Remodeling </t>
    </r>
    <r>
      <rPr>
        <b val="true"/>
        <sz val="10"/>
        <color rgb="FFFFFFFF"/>
        <rFont val="WenQuanYi Zen Hei"/>
        <family val="2"/>
      </rPr>
      <t xml:space="preserve">구매 </t>
    </r>
    <r>
      <rPr>
        <b val="true"/>
        <sz val="10"/>
        <color rgb="FFFFFFFF"/>
        <rFont val="Arial"/>
        <family val="0"/>
        <charset val="1"/>
      </rPr>
      <t xml:space="preserve">· Y3</t>
    </r>
  </si>
  <si>
    <r>
      <rPr>
        <b val="true"/>
        <sz val="10"/>
        <color rgb="FFFFFFFF"/>
        <rFont val="Arial"/>
        <family val="0"/>
        <charset val="1"/>
      </rPr>
      <t xml:space="preserve">Remodeling </t>
    </r>
    <r>
      <rPr>
        <b val="true"/>
        <sz val="10"/>
        <color rgb="FFFFFFFF"/>
        <rFont val="WenQuanYi Zen Hei"/>
        <family val="2"/>
      </rPr>
      <t xml:space="preserve">구매 </t>
    </r>
    <r>
      <rPr>
        <b val="true"/>
        <sz val="10"/>
        <color rgb="FFFFFFFF"/>
        <rFont val="Arial"/>
        <family val="0"/>
        <charset val="1"/>
      </rPr>
      <t xml:space="preserve">· Y5</t>
    </r>
  </si>
  <si>
    <t xml:space="preserve">Remodeling Rental · Y3</t>
  </si>
  <si>
    <t xml:space="preserve">Remodeling Rental · Y5</t>
  </si>
  <si>
    <r>
      <rPr>
        <b val="true"/>
        <sz val="10"/>
        <color rgb="FFFFFFFF"/>
        <rFont val="Arial"/>
        <family val="0"/>
        <charset val="1"/>
      </rPr>
      <t xml:space="preserve">Retrofit </t>
    </r>
    <r>
      <rPr>
        <b val="true"/>
        <sz val="10"/>
        <color rgb="FFFFFFFF"/>
        <rFont val="WenQuanYi Zen Hei"/>
        <family val="2"/>
      </rPr>
      <t xml:space="preserve">구매 </t>
    </r>
    <r>
      <rPr>
        <b val="true"/>
        <sz val="10"/>
        <color rgb="FFFFFFFF"/>
        <rFont val="Arial"/>
        <family val="0"/>
        <charset val="1"/>
      </rPr>
      <t xml:space="preserve">· Y3</t>
    </r>
  </si>
  <si>
    <r>
      <rPr>
        <b val="true"/>
        <sz val="10"/>
        <color rgb="FFFFFFFF"/>
        <rFont val="Arial"/>
        <family val="0"/>
        <charset val="1"/>
      </rPr>
      <t xml:space="preserve">New-build </t>
    </r>
    <r>
      <rPr>
        <b val="true"/>
        <sz val="10"/>
        <color rgb="FFFFFFFF"/>
        <rFont val="WenQuanYi Zen Hei"/>
        <family val="2"/>
      </rPr>
      <t xml:space="preserve">구매 </t>
    </r>
    <r>
      <rPr>
        <b val="true"/>
        <sz val="10"/>
        <color rgb="FFFFFFFF"/>
        <rFont val="Arial"/>
        <family val="0"/>
        <charset val="1"/>
      </rPr>
      <t xml:space="preserve">· Y3</t>
    </r>
  </si>
  <si>
    <t xml:space="preserve">산식</t>
  </si>
  <si>
    <t xml:space="preserve">REVENUE</t>
  </si>
  <si>
    <t xml:space="preserve">INSTALL · Interface · Integration</t>
  </si>
  <si>
    <t xml:space="preserve">INSTALL · Installation · Calibration</t>
  </si>
  <si>
    <r>
      <rPr>
        <sz val="10"/>
        <color rgb="FF000000"/>
        <rFont val="Arial"/>
        <family val="0"/>
        <charset val="1"/>
      </rPr>
      <t xml:space="preserve">INSTALL · Robot System (</t>
    </r>
    <r>
      <rPr>
        <sz val="10"/>
        <color rgb="FF000000"/>
        <rFont val="WenQuanYi Zen Hei"/>
        <family val="2"/>
      </rPr>
      <t xml:space="preserve">구매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</si>
  <si>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OPERATE · Rental (60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</si>
  <si>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OPERATE · Care Basic (5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</si>
  <si>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OPERATE · Consumables (5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구매율 반영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</si>
  <si>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EXPAND · ASSIST Skill (</t>
    </r>
    <r>
      <rPr>
        <sz val="10"/>
        <color rgb="FF000000"/>
        <rFont val="WenQuanYi Zen Hei"/>
        <family val="2"/>
      </rPr>
      <t xml:space="preserve">기대값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</si>
  <si>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EXPAND · Tool / End-effector (</t>
    </r>
    <r>
      <rPr>
        <sz val="10"/>
        <color rgb="FF000000"/>
        <rFont val="WenQuanYi Zen Hei"/>
        <family val="2"/>
      </rPr>
      <t xml:space="preserve">기대값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</si>
  <si>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매출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</si>
  <si>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원가</t>
    </r>
  </si>
  <si>
    <r>
      <rPr>
        <sz val="10"/>
        <color rgb="FF000000"/>
        <rFont val="Arial"/>
        <family val="0"/>
        <charset val="1"/>
      </rPr>
      <t xml:space="preserve">Robot BOM (Rental</t>
    </r>
    <r>
      <rPr>
        <sz val="10"/>
        <color rgb="FF000000"/>
        <rFont val="WenQuanYi Zen Hei"/>
        <family val="2"/>
      </rPr>
      <t xml:space="preserve">은 잔존가치 차감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</si>
  <si>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금융비용 </t>
    </r>
    <r>
      <rPr>
        <sz val="10"/>
        <color rgb="FF000000"/>
        <rFont val="Arial"/>
        <family val="0"/>
        <charset val="1"/>
      </rPr>
      <t xml:space="preserve">(5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</si>
  <si>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Care Service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(5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</si>
  <si>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원가</t>
    </r>
  </si>
  <si>
    <r>
      <rPr>
        <sz val="10"/>
        <color rgb="FF000000"/>
        <rFont val="WenQuanYi Zen Hei"/>
        <family val="2"/>
      </rPr>
      <t xml:space="preserve">채널비용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획득비용 </t>
    </r>
    <r>
      <rPr>
        <sz val="10"/>
        <color rgb="FF000000"/>
        <rFont val="Arial"/>
        <family val="0"/>
        <charset val="1"/>
      </rPr>
      <t xml:space="preserve">· Partner </t>
    </r>
    <r>
      <rPr>
        <sz val="10"/>
        <color rgb="FF000000"/>
        <rFont val="WenQuanYi Zen Hei"/>
        <family val="2"/>
      </rPr>
      <t xml:space="preserve">수수료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수주비용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</si>
  <si>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비용</t>
    </r>
  </si>
  <si>
    <t xml:space="preserve">RESULT</t>
  </si>
  <si>
    <r>
      <rPr>
        <sz val="10"/>
        <color rgb="FF000000"/>
        <rFont val="Arial"/>
        <family val="0"/>
        <charset val="1"/>
      </rPr>
      <t xml:space="preserve">Year 0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(INSTALL)</t>
    </r>
  </si>
  <si>
    <r>
      <rPr>
        <sz val="10"/>
        <color rgb="FF000000"/>
        <rFont val="Arial"/>
        <family val="0"/>
        <charset val="1"/>
      </rPr>
      <t xml:space="preserve">OPERATE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(5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</si>
  <si>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EXPAND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(5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</si>
  <si>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매출총이익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채널비용 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</si>
  <si>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Arial"/>
        <family val="0"/>
        <charset val="1"/>
      </rPr>
      <t xml:space="preserve">Lifetime Contribution</t>
    </r>
  </si>
  <si>
    <t xml:space="preserve">Contribution Margin</t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</si>
  <si>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서비스 원가 </t>
    </r>
    <r>
      <rPr>
        <b val="true"/>
        <sz val="10"/>
        <rFont val="Arial"/>
        <family val="0"/>
        <charset val="1"/>
      </rPr>
      <t xml:space="preserve">(Care · Consumables · Warranty)</t>
    </r>
  </si>
  <si>
    <r>
      <rPr>
        <b val="true"/>
        <sz val="14"/>
        <rFont val="Arial"/>
        <family val="0"/>
        <charset val="1"/>
      </rPr>
      <t xml:space="preserve">Unit Economics — Base 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</si>
  <si>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Rental </t>
    </r>
    <r>
      <rPr>
        <b val="true"/>
        <sz val="10"/>
        <color rgb="FFFFFFFF"/>
        <rFont val="WenQuanYi Zen Hei"/>
        <family val="2"/>
      </rPr>
      <t xml:space="preserve">월 원가 </t>
    </r>
    <r>
      <rPr>
        <b val="true"/>
        <sz val="10"/>
        <color rgb="FFFFFFFF"/>
        <rFont val="Arial"/>
        <family val="0"/>
        <charset val="1"/>
      </rPr>
      <t xml:space="preserve">Build-up (Robot 1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, MH </t>
    </r>
    <r>
      <rPr>
        <b val="true"/>
        <sz val="10"/>
        <color rgb="FFFFFFFF"/>
        <rFont val="WenQuanYi Zen Hei"/>
        <family val="2"/>
      </rPr>
      <t xml:space="preserve">보유 가정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</si>
  <si>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Y3 </t>
    </r>
    <r>
      <rPr>
        <b val="true"/>
        <sz val="10"/>
        <color rgb="FFFFFFFF"/>
        <rFont val="WenQuanYi Zen Hei"/>
        <family val="2"/>
      </rPr>
      <t xml:space="preserve">원가</t>
    </r>
  </si>
  <si>
    <r>
      <rPr>
        <b val="true"/>
        <sz val="10"/>
        <color rgb="FFFFFFFF"/>
        <rFont val="Arial"/>
        <family val="0"/>
        <charset val="1"/>
      </rPr>
      <t xml:space="preserve">Y5 </t>
    </r>
    <r>
      <rPr>
        <b val="true"/>
        <sz val="10"/>
        <color rgb="FFFFFFFF"/>
        <rFont val="WenQuanYi Zen Hei"/>
        <family val="2"/>
      </rPr>
      <t xml:space="preserve">원가</t>
    </r>
  </si>
  <si>
    <t xml:space="preserve">Robot BOM</t>
  </si>
  <si>
    <r>
      <rPr>
        <sz val="10"/>
        <color rgb="FF000000"/>
        <rFont val="WenQuanYi Zen Hei"/>
        <family val="2"/>
      </rPr>
      <t xml:space="preserve">감가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잔존가치 차감</t>
    </r>
    <r>
      <rPr>
        <sz val="10"/>
        <color rgb="FF000000"/>
        <rFont val="Arial"/>
        <family val="0"/>
        <charset val="1"/>
      </rPr>
      <t xml:space="preserve">, 60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</si>
  <si>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금융비용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평균잔액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금리 </t>
    </r>
    <r>
      <rPr>
        <sz val="10"/>
        <color rgb="FF000000"/>
        <rFont val="Arial"/>
        <family val="0"/>
        <charset val="1"/>
      </rPr>
      <t xml:space="preserve">/ 12)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</si>
  <si>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/ 12</t>
    </r>
  </si>
  <si>
    <r>
      <rPr>
        <sz val="10"/>
        <color rgb="FF000000"/>
        <rFont val="Arial"/>
        <family val="0"/>
        <charset val="1"/>
      </rPr>
      <t xml:space="preserve">Grip Kit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/ 12</t>
    </r>
  </si>
  <si>
    <t xml:space="preserve">Failure Reserve</t>
  </si>
  <si>
    <t xml:space="preserve">월 원가 합계</t>
  </si>
  <si>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요금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가정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</si>
  <si>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Arial"/>
        <family val="0"/>
        <charset val="1"/>
      </rPr>
      <t xml:space="preserve">Contribution</t>
    </r>
  </si>
  <si>
    <r>
      <rPr>
        <sz val="10"/>
        <color rgb="FF000000"/>
        <rFont val="WenQuanYi Zen Hei"/>
        <family val="2"/>
      </rPr>
      <t xml:space="preserve">마진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확보 요금</t>
    </r>
  </si>
  <si>
    <r>
      <rPr>
        <b val="true"/>
        <sz val="10"/>
        <rFont val="Arial"/>
        <family val="0"/>
        <charset val="1"/>
      </rPr>
      <t xml:space="preserve">Payback (BOM ÷ (</t>
    </r>
    <r>
      <rPr>
        <b val="true"/>
        <sz val="10"/>
        <rFont val="WenQuanYi Zen Hei"/>
        <family val="2"/>
      </rPr>
      <t xml:space="preserve">요금 − </t>
    </r>
    <r>
      <rPr>
        <b val="true"/>
        <sz val="10"/>
        <rFont val="Arial"/>
        <family val="0"/>
        <charset val="1"/>
      </rPr>
      <t xml:space="preserve">Care − Grip), </t>
    </r>
    <r>
      <rPr>
        <b val="true"/>
        <sz val="10"/>
        <rFont val="WenQuanYi Zen Hei"/>
        <family val="2"/>
      </rPr>
      <t xml:space="preserve">개월</t>
    </r>
    <r>
      <rPr>
        <b val="true"/>
        <sz val="10"/>
        <rFont val="Arial"/>
        <family val="0"/>
        <charset val="1"/>
      </rPr>
      <t xml:space="preserve">)</t>
    </r>
  </si>
  <si>
    <t xml:space="preserve">금융비용 제외 현금 회수</t>
  </si>
  <si>
    <r>
      <rPr>
        <sz val="10"/>
        <color rgb="FF000000"/>
        <rFont val="Arial"/>
        <family val="0"/>
        <charset val="1"/>
      </rPr>
      <t xml:space="preserve">Payback </t>
    </r>
    <r>
      <rPr>
        <sz val="10"/>
        <color rgb="FF000000"/>
        <rFont val="WenQuanYi Zen Hei"/>
        <family val="2"/>
      </rPr>
      <t xml:space="preserve">허들 충족 최대 </t>
    </r>
    <r>
      <rPr>
        <sz val="10"/>
        <color rgb="FF000000"/>
        <rFont val="Arial"/>
        <family val="0"/>
        <charset val="1"/>
      </rPr>
      <t xml:space="preserve">BOM</t>
    </r>
  </si>
  <si>
    <r>
      <rPr>
        <sz val="10"/>
        <color rgb="FF000000"/>
        <rFont val="Arial"/>
        <family val="0"/>
        <charset val="1"/>
      </rPr>
      <t xml:space="preserve">Rental Partner </t>
    </r>
    <r>
      <rPr>
        <sz val="10"/>
        <color rgb="FF000000"/>
        <rFont val="WenQuanYi Zen Hei"/>
        <family val="2"/>
      </rPr>
      <t xml:space="preserve">요구 </t>
    </r>
    <r>
      <rPr>
        <sz val="10"/>
        <color rgb="FF000000"/>
        <rFont val="Arial"/>
        <family val="0"/>
        <charset val="1"/>
      </rPr>
      <t xml:space="preserve">Payback </t>
    </r>
    <r>
      <rPr>
        <sz val="10"/>
        <color rgb="FF000000"/>
        <rFont val="WenQuanYi Zen Hei"/>
        <family val="2"/>
      </rPr>
      <t xml:space="preserve">기준</t>
    </r>
  </si>
  <si>
    <r>
      <rPr>
        <b val="true"/>
        <sz val="10"/>
        <color rgb="FFFFFFFF"/>
        <rFont val="Arial"/>
        <family val="0"/>
        <charset val="1"/>
      </rPr>
      <t xml:space="preserve">Care Basic (Robot 1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</si>
  <si>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연 요금</t>
    </r>
  </si>
  <si>
    <t xml:space="preserve">정기 방문 원가</t>
  </si>
  <si>
    <t xml:space="preserve">고장 방문 원가</t>
  </si>
  <si>
    <t xml:space="preserve">Cloud·Software</t>
  </si>
  <si>
    <r>
      <rPr>
        <b val="true"/>
        <sz val="10"/>
        <rFont val="Arial"/>
        <family val="0"/>
        <charset val="1"/>
      </rPr>
      <t xml:space="preserve">Care </t>
    </r>
    <r>
      <rPr>
        <b val="true"/>
        <sz val="10"/>
        <rFont val="WenQuanYi Zen Hei"/>
        <family val="2"/>
      </rPr>
      <t xml:space="preserve">원가 합계</t>
    </r>
  </si>
  <si>
    <t xml:space="preserve">Care Contribution</t>
  </si>
  <si>
    <t xml:space="preserve">Care Margin</t>
  </si>
  <si>
    <r>
      <rPr>
        <b val="true"/>
        <sz val="10"/>
        <color rgb="FFFFFFFF"/>
        <rFont val="Arial"/>
        <family val="0"/>
        <charset val="1"/>
      </rPr>
      <t xml:space="preserve">Consumables (Robot 1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구매 고객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</si>
  <si>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연 매출</t>
  </si>
  <si>
    <t xml:space="preserve">원가</t>
  </si>
  <si>
    <r>
      <rPr>
        <sz val="10"/>
        <color rgb="FF000000"/>
        <rFont val="Arial"/>
        <family val="0"/>
        <charset val="1"/>
      </rPr>
      <t xml:space="preserve">Grip Kit (List × </t>
    </r>
    <r>
      <rPr>
        <sz val="10"/>
        <color rgb="FF000000"/>
        <rFont val="WenQuanYi Zen Hei"/>
        <family val="2"/>
      </rPr>
      <t xml:space="preserve">구매율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</si>
  <si>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Cleaning Kit (List × </t>
    </r>
    <r>
      <rPr>
        <sz val="10"/>
        <color rgb="FF000000"/>
        <rFont val="WenQuanYi Zen Hei"/>
        <family val="2"/>
      </rPr>
      <t xml:space="preserve">구매율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</si>
  <si>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Protection Kit (List × </t>
    </r>
    <r>
      <rPr>
        <sz val="10"/>
        <color rgb="FF000000"/>
        <rFont val="WenQuanYi Zen Hei"/>
        <family val="2"/>
      </rPr>
      <t xml:space="preserve">구매율</t>
    </r>
    <r>
      <rPr>
        <sz val="10"/>
        <color rgb="FF000000"/>
        <rFont val="Arial"/>
        <family val="0"/>
        <charset val="1"/>
      </rPr>
      <t xml:space="preserve">)</t>
    </r>
  </si>
  <si>
    <t xml:space="preserve">합계</t>
  </si>
  <si>
    <r>
      <rPr>
        <b val="true"/>
        <sz val="10"/>
        <color rgb="FFFFFFFF"/>
        <rFont val="Arial"/>
        <family val="0"/>
        <charset val="1"/>
      </rPr>
      <t xml:space="preserve">Rental Partner </t>
    </r>
    <r>
      <rPr>
        <b val="true"/>
        <sz val="10"/>
        <color rgb="FFFFFFFF"/>
        <rFont val="WenQuanYi Zen Hei"/>
        <family val="2"/>
      </rPr>
      <t xml:space="preserve">경제성 </t>
    </r>
    <r>
      <rPr>
        <b val="true"/>
        <sz val="10"/>
        <color rgb="FFFFFFFF"/>
        <rFont val="Arial"/>
        <family val="0"/>
        <charset val="1"/>
      </rPr>
      <t xml:space="preserve">(Base, Y4~)</t>
    </r>
  </si>
  <si>
    <t xml:space="preserve">값</t>
  </si>
  <si>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매입가 </t>
    </r>
    <r>
      <rPr>
        <sz val="10"/>
        <color rgb="FF000000"/>
        <rFont val="Arial"/>
        <family val="0"/>
        <charset val="1"/>
      </rPr>
      <t xml:space="preserve">(ASP × </t>
    </r>
    <r>
      <rPr>
        <sz val="10"/>
        <color rgb="FF000000"/>
        <rFont val="WenQuanYi Zen Hei"/>
        <family val="2"/>
      </rPr>
      <t xml:space="preserve">공급가율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</si>
  <si>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월 순유입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요금 − </t>
    </r>
    <r>
      <rPr>
        <sz val="10"/>
        <color rgb="FF000000"/>
        <rFont val="Arial"/>
        <family val="0"/>
        <charset val="1"/>
      </rPr>
      <t xml:space="preserve">MH </t>
    </r>
    <r>
      <rPr>
        <sz val="10"/>
        <color rgb="FF000000"/>
        <rFont val="WenQuanYi Zen Hei"/>
        <family val="2"/>
      </rPr>
      <t xml:space="preserve">서비스료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</si>
  <si>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잔존가치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매입가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잔존율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</si>
  <si>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IRR</t>
    </r>
  </si>
  <si>
    <r>
      <rPr>
        <sz val="10"/>
        <color rgb="FF000000"/>
        <rFont val="Arial"/>
        <family val="0"/>
        <charset val="1"/>
      </rPr>
      <t xml:space="preserve">RATE(</t>
    </r>
    <r>
      <rPr>
        <sz val="10"/>
        <color rgb="FF000000"/>
        <rFont val="WenQuanYi Zen Hei"/>
        <family val="2"/>
      </rPr>
      <t xml:space="preserve">기간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월 유입</t>
    </r>
    <r>
      <rPr>
        <sz val="10"/>
        <color rgb="FF000000"/>
        <rFont val="Arial"/>
        <family val="0"/>
        <charset val="1"/>
      </rPr>
      <t xml:space="preserve">, −</t>
    </r>
    <r>
      <rPr>
        <sz val="10"/>
        <color rgb="FF000000"/>
        <rFont val="WenQuanYi Zen Hei"/>
        <family val="2"/>
      </rPr>
      <t xml:space="preserve">매입가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잔존가치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</si>
  <si>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연 </t>
    </r>
    <r>
      <rPr>
        <b val="true"/>
        <sz val="10"/>
        <rFont val="Arial"/>
        <family val="0"/>
        <charset val="1"/>
      </rPr>
      <t xml:space="preserve">IRR (</t>
    </r>
    <r>
      <rPr>
        <b val="true"/>
        <sz val="10"/>
        <rFont val="WenQuanYi Zen Hei"/>
        <family val="2"/>
      </rPr>
      <t xml:space="preserve">연체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해지 미반영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</si>
  <si>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단순 회수기간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</si>
  <si>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매입가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월 순유입</t>
    </r>
  </si>
  <si>
    <r>
      <rPr>
        <sz val="10"/>
        <color rgb="FF000000"/>
        <rFont val="Arial"/>
        <family val="0"/>
        <charset val="1"/>
      </rPr>
      <t xml:space="preserve">Partner </t>
    </r>
    <r>
      <rPr>
        <sz val="10"/>
        <color rgb="FF000000"/>
        <rFont val="WenQuanYi Zen Hei"/>
        <family val="2"/>
      </rPr>
      <t xml:space="preserve">요구 </t>
    </r>
    <r>
      <rPr>
        <sz val="10"/>
        <color rgb="FF000000"/>
        <rFont val="Arial"/>
        <family val="0"/>
        <charset val="1"/>
      </rPr>
      <t xml:space="preserve">Payback (</t>
    </r>
    <r>
      <rPr>
        <sz val="10"/>
        <color rgb="FF000000"/>
        <rFont val="WenQuanYi Zen Hei"/>
        <family val="2"/>
      </rPr>
      <t xml:space="preserve">가정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</si>
  <si>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회수기간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요구치이면 매입가율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서비스료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기간 협의 필요</t>
    </r>
  </si>
  <si>
    <r>
      <rPr>
        <b val="true"/>
        <sz val="10"/>
        <color rgb="FFFFFFFF"/>
        <rFont val="Arial"/>
        <family val="0"/>
        <charset val="1"/>
      </rPr>
      <t xml:space="preserve">Robot BOM </t>
    </r>
    <r>
      <rPr>
        <b val="true"/>
        <sz val="10"/>
        <color rgb="FFFFFFFF"/>
        <rFont val="WenQuanYi Zen Hei"/>
        <family val="2"/>
      </rPr>
      <t xml:space="preserve">구성 </t>
    </r>
    <r>
      <rPr>
        <b val="true"/>
        <sz val="10"/>
        <color rgb="FFFFFFFF"/>
        <rFont val="Arial"/>
        <family val="0"/>
        <charset val="1"/>
      </rPr>
      <t xml:space="preserve">(ASSUMPTION, </t>
    </r>
    <r>
      <rPr>
        <b val="true"/>
        <sz val="10"/>
        <color rgb="FFFFFFFF"/>
        <rFont val="WenQuanYi Zen Hei"/>
        <family val="2"/>
      </rPr>
      <t xml:space="preserve">만원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</si>
  <si>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Pilot (Y1)</t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</si>
  <si>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축 </t>
    </r>
    <r>
      <rPr>
        <sz val="10"/>
        <color rgb="FF000000"/>
        <rFont val="Arial"/>
        <family val="0"/>
        <charset val="1"/>
      </rPr>
      <t xml:space="preserve">Arm (</t>
    </r>
    <r>
      <rPr>
        <sz val="10"/>
        <color rgb="FF000000"/>
        <rFont val="WenQuanYi Zen Hei"/>
        <family val="2"/>
      </rPr>
      <t xml:space="preserve">가반 </t>
    </r>
    <r>
      <rPr>
        <sz val="10"/>
        <color rgb="FF000000"/>
        <rFont val="Arial"/>
        <family val="0"/>
        <charset val="1"/>
      </rPr>
      <t xml:space="preserve">3~5kg, Controller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</si>
  <si>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FAIRINO FR5 $6,999 · xArm 6 $8,399 · UR3e $23k~33k </t>
    </r>
    <r>
      <rPr>
        <sz val="10"/>
        <color rgb="FF000000"/>
        <rFont val="WenQuanYi Zen Hei"/>
        <family val="2"/>
      </rPr>
      <t xml:space="preserve">공개가 → </t>
    </r>
    <r>
      <rPr>
        <sz val="10"/>
        <color rgb="FF000000"/>
        <rFont val="Arial"/>
        <family val="0"/>
        <charset val="1"/>
      </rPr>
      <t xml:space="preserve">OEM · </t>
    </r>
    <r>
      <rPr>
        <sz val="10"/>
        <color rgb="FF000000"/>
        <rFont val="WenQuanYi Zen Hei"/>
        <family val="2"/>
      </rPr>
      <t xml:space="preserve">국산 </t>
    </r>
    <r>
      <rPr>
        <sz val="10"/>
        <color rgb="FF000000"/>
        <rFont val="Arial"/>
        <family val="0"/>
        <charset val="1"/>
      </rPr>
      <t xml:space="preserve">Partner</t>
    </r>
  </si>
  <si>
    <r>
      <rPr>
        <sz val="10"/>
        <color rgb="FF000000"/>
        <rFont val="Arial"/>
        <family val="0"/>
        <charset val="1"/>
      </rPr>
      <t xml:space="preserve">Adaptive Hand (</t>
    </r>
    <r>
      <rPr>
        <sz val="10"/>
        <color rgb="FF000000"/>
        <rFont val="WenQuanYi Zen Hei"/>
        <family val="2"/>
      </rPr>
      <t xml:space="preserve">손가락 </t>
    </r>
    <r>
      <rPr>
        <sz val="10"/>
        <color rgb="FF000000"/>
        <rFont val="Arial"/>
        <family val="0"/>
        <charset val="1"/>
      </rPr>
      <t xml:space="preserve">2~3 · </t>
    </r>
    <r>
      <rPr>
        <sz val="10"/>
        <color rgb="FF000000"/>
        <rFont val="WenQuanYi Zen Hei"/>
        <family val="2"/>
      </rPr>
      <t xml:space="preserve">교체형 </t>
    </r>
    <r>
      <rPr>
        <sz val="10"/>
        <color rgb="FF000000"/>
        <rFont val="Arial"/>
        <family val="0"/>
        <charset val="1"/>
      </rPr>
      <t xml:space="preserve">Pad · </t>
    </r>
    <r>
      <rPr>
        <sz val="10"/>
        <color rgb="FF000000"/>
        <rFont val="WenQuanYi Zen Hei"/>
        <family val="2"/>
      </rPr>
      <t xml:space="preserve">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미끄럼 감지 </t>
    </r>
    <r>
      <rPr>
        <sz val="10"/>
        <color rgb="FF000000"/>
        <rFont val="Arial"/>
        <family val="0"/>
        <charset val="1"/>
      </rPr>
      <t xml:space="preserve">· Quick Changer)</t>
    </r>
  </si>
  <si>
    <r>
      <rPr>
        <sz val="10"/>
        <color rgb="FF000000"/>
        <rFont val="Arial"/>
        <family val="0"/>
        <charset val="1"/>
      </rPr>
      <t xml:space="preserve">Robotiq 2F-85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$5,825 (2026 </t>
    </r>
    <r>
      <rPr>
        <sz val="10"/>
        <color rgb="FF000000"/>
        <rFont val="WenQuanYi Zen Hei"/>
        <family val="2"/>
      </rPr>
      <t xml:space="preserve">판매가</t>
    </r>
    <r>
      <rPr>
        <sz val="10"/>
        <color rgb="FF000000"/>
        <rFont val="Arial"/>
        <family val="0"/>
        <charset val="1"/>
      </rPr>
      <t xml:space="preserve">) · Inspire RH56 $4,500~9,899 </t>
    </r>
    <r>
      <rPr>
        <sz val="10"/>
        <color rgb="FF000000"/>
        <rFont val="WenQuanYi Zen Hei"/>
        <family val="2"/>
      </rPr>
      <t xml:space="preserve">대비 자체 설계 목표가</t>
    </r>
  </si>
  <si>
    <t xml:space="preserve">Rail · Carriage · Servo (Remodeling · New-build, 2.4~3.6m)</t>
  </si>
  <si>
    <r>
      <rPr>
        <sz val="10"/>
        <color rgb="FF000000"/>
        <rFont val="Arial"/>
        <family val="0"/>
        <charset val="1"/>
      </rPr>
      <t xml:space="preserve">Belt </t>
    </r>
    <r>
      <rPr>
        <sz val="10"/>
        <color rgb="FF000000"/>
        <rFont val="WenQuanYi Zen Hei"/>
        <family val="2"/>
      </rPr>
      <t xml:space="preserve">구동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축 </t>
    </r>
    <r>
      <rPr>
        <sz val="10"/>
        <color rgb="FF000000"/>
        <rFont val="Arial"/>
        <family val="0"/>
        <charset val="1"/>
      </rPr>
      <t xml:space="preserve">Rail. Retrofit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Compact Mount</t>
    </r>
  </si>
  <si>
    <r>
      <rPr>
        <sz val="10"/>
        <color rgb="FF000000"/>
        <rFont val="Arial"/>
        <family val="0"/>
        <charset val="1"/>
      </rPr>
      <t xml:space="preserve">Vision (Depth Camera 2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Arial"/>
        <family val="0"/>
        <charset val="1"/>
      </rPr>
      <t xml:space="preserve">+ Mount)</t>
    </r>
  </si>
  <si>
    <t xml:space="preserve">Orbbec Gemini 335 $384~400 · RealSense D405 $514</t>
  </si>
  <si>
    <t xml:space="preserve">Compute (Edge GPU)</t>
  </si>
  <si>
    <r>
      <rPr>
        <sz val="10"/>
        <color rgb="FF000000"/>
        <rFont val="Arial"/>
        <family val="0"/>
        <charset val="1"/>
      </rPr>
      <t xml:space="preserve">Edge AI Module </t>
    </r>
    <r>
      <rPr>
        <sz val="10"/>
        <color rgb="FF000000"/>
        <rFont val="WenQuanYi Zen Hei"/>
        <family val="2"/>
      </rPr>
      <t xml:space="preserve">가정</t>
    </r>
  </si>
  <si>
    <t xml:space="preserve">Safety (Zone Sensor · Safety Controller)</t>
  </si>
  <si>
    <r>
      <rPr>
        <sz val="10"/>
        <color rgb="FF000000"/>
        <rFont val="Arial"/>
        <family val="0"/>
        <charset val="1"/>
      </rPr>
      <t xml:space="preserve">ToF/Radar Zone Sensor + Safety Relay </t>
    </r>
    <r>
      <rPr>
        <sz val="10"/>
        <color rgb="FF000000"/>
        <rFont val="WenQuanYi Zen Hei"/>
        <family val="2"/>
      </rPr>
      <t xml:space="preserve">가정</t>
    </r>
  </si>
  <si>
    <t xml:space="preserve">Robot Home (Dock) · Harness · Enclosure</t>
  </si>
  <si>
    <r>
      <rPr>
        <sz val="10"/>
        <color rgb="FF000000"/>
        <rFont val="WenQuanYi Zen Hei"/>
        <family val="2"/>
      </rPr>
      <t xml:space="preserve">조립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시험 </t>
    </r>
    <r>
      <rPr>
        <sz val="10"/>
        <color rgb="FF000000"/>
        <rFont val="Arial"/>
        <family val="0"/>
        <charset val="1"/>
      </rPr>
      <t xml:space="preserve">(Pilot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Opex </t>
    </r>
    <r>
      <rPr>
        <sz val="10"/>
        <color rgb="FF000000"/>
        <rFont val="WenQuanYi Zen Hei"/>
        <family val="2"/>
      </rPr>
      <t xml:space="preserve">인건비 처리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</si>
  <si>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검증</t>
    </r>
    <r>
      <rPr>
        <sz val="10"/>
        <color rgb="FF000000"/>
        <rFont val="Arial"/>
        <family val="0"/>
        <charset val="1"/>
      </rPr>
      <t xml:space="preserve">: Inputs_Yearly Base BOM</t>
    </r>
    <r>
      <rPr>
        <sz val="10"/>
        <color rgb="FF000000"/>
        <rFont val="WenQuanYi Zen Hei"/>
        <family val="2"/>
      </rPr>
      <t xml:space="preserve">과 차이 </t>
    </r>
    <r>
      <rPr>
        <sz val="10"/>
        <color rgb="FF000000"/>
        <rFont val="Arial"/>
        <family val="0"/>
        <charset val="1"/>
      </rPr>
      <t xml:space="preserve">(0</t>
    </r>
    <r>
      <rPr>
        <sz val="10"/>
        <color rgb="FF000000"/>
        <rFont val="WenQuanYi Zen Hei"/>
        <family val="2"/>
      </rPr>
      <t xml:space="preserve">이어야 함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</si>
  <si>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Market Sizing — Bottom-up 4</t>
    </r>
    <r>
      <rPr>
        <b val="true"/>
        <sz val="14"/>
        <rFont val="WenQuanYi Zen Hei"/>
        <family val="2"/>
      </rPr>
      <t xml:space="preserve">개 시장 </t>
    </r>
    <r>
      <rPr>
        <b val="true"/>
        <sz val="14"/>
        <rFont val="Arial"/>
        <family val="0"/>
        <charset val="1"/>
      </rPr>
      <t xml:space="preserve">(Base)</t>
    </r>
  </si>
  <si>
    <r>
      <rPr>
        <sz val="11"/>
        <color theme="1"/>
        <rFont val="WenQuanYi Zen Hei"/>
        <family val="2"/>
      </rPr>
      <t xml:space="preserve">큰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WenQuanYi Zen Hei"/>
        <family val="2"/>
      </rPr>
      <t xml:space="preserve">대신 세대 수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적용률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단가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아파트 재고는 기회 기반이지 구매시장 규모가 아님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핵심 비율은 모두 </t>
    </r>
    <r>
      <rPr>
        <sz val="11"/>
        <color theme="1"/>
        <rFont val="Calibri"/>
        <family val="2"/>
        <charset val="1"/>
      </rPr>
      <t xml:space="preserve">ASSUMPTION (</t>
    </r>
    <r>
      <rPr>
        <sz val="11"/>
        <color theme="1"/>
        <rFont val="WenQuanYi Zen Hei"/>
        <family val="2"/>
      </rPr>
      <t xml:space="preserve">검증 계획 부록</t>
    </r>
    <r>
      <rPr>
        <sz val="11"/>
        <color theme="1"/>
        <rFont val="Calibri"/>
        <family val="2"/>
        <charset val="1"/>
      </rPr>
      <t xml:space="preserve">).</t>
    </r>
  </si>
  <si>
    <r>
      <rPr>
        <b val="true"/>
        <sz val="10"/>
        <color rgb="FFFFFFFF"/>
        <rFont val="WenQuanYi Zen Hei"/>
        <family val="2"/>
      </rPr>
      <t xml:space="preserve">산식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출처</t>
    </r>
  </si>
  <si>
    <r>
      <rPr>
        <sz val="10"/>
        <color rgb="FF000000"/>
        <rFont val="WenQuanYi Zen Hei"/>
        <family val="2"/>
      </rPr>
      <t xml:space="preserve">총주택 </t>
    </r>
    <r>
      <rPr>
        <sz val="10"/>
        <color rgb="FF000000"/>
        <rFont val="Arial"/>
        <family val="0"/>
        <charset val="1"/>
      </rPr>
      <t xml:space="preserve">(2025)</t>
    </r>
  </si>
  <si>
    <r>
      <rPr>
        <sz val="10"/>
        <color rgb="FF000000"/>
        <rFont val="WenQuanYi Zen Hei"/>
        <family val="2"/>
      </rPr>
      <t xml:space="preserve">국가데이터처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인구주택총조사</t>
    </r>
  </si>
  <si>
    <t xml:space="preserve">아파트 비중</t>
  </si>
  <si>
    <r>
      <rPr>
        <sz val="10"/>
        <color rgb="FF000000"/>
        <rFont val="WenQuanYi Zen Hei"/>
        <family val="2"/>
      </rPr>
      <t xml:space="preserve">아파트 수 </t>
    </r>
    <r>
      <rPr>
        <sz val="10"/>
        <color rgb="FF000000"/>
        <rFont val="Arial"/>
        <family val="0"/>
        <charset val="1"/>
      </rPr>
      <t xml:space="preserve">(2025)</t>
    </r>
  </si>
  <si>
    <r>
      <rPr>
        <sz val="10"/>
        <color rgb="FF000000"/>
        <rFont val="WenQuanYi Zen Hei"/>
        <family val="2"/>
      </rPr>
      <t xml:space="preserve">총주택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비중</t>
    </r>
  </si>
  <si>
    <r>
      <rPr>
        <sz val="10"/>
        <color rgb="FF000000"/>
        <rFont val="WenQuanYi Zen Hei"/>
        <family val="2"/>
      </rPr>
      <t xml:space="preserve">교차검증 ①</t>
    </r>
    <r>
      <rPr>
        <sz val="10"/>
        <color rgb="FF000000"/>
        <rFont val="Arial"/>
        <family val="0"/>
        <charset val="1"/>
      </rPr>
      <t xml:space="preserve">: 20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아파트</t>
    </r>
    <r>
      <rPr>
        <sz val="10"/>
        <color rgb="FF000000"/>
        <rFont val="Arial"/>
        <family val="0"/>
        <charset val="1"/>
      </rPr>
      <t xml:space="preserve">(2023) ÷ </t>
    </r>
    <r>
      <rPr>
        <sz val="10"/>
        <color rgb="FF000000"/>
        <rFont val="WenQuanYi Zen Hei"/>
        <family val="2"/>
      </rPr>
      <t xml:space="preserve">교체주기</t>
    </r>
  </si>
  <si>
    <r>
      <rPr>
        <sz val="10"/>
        <color rgb="FF000000"/>
        <rFont val="WenQuanYi Zen Hei"/>
        <family val="2"/>
      </rPr>
      <t xml:space="preserve">교차검증 ②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매매거래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아파트 비중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교체율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비거래 교체</t>
    </r>
  </si>
  <si>
    <r>
      <rPr>
        <sz val="10"/>
        <color rgb="FF000000"/>
        <rFont val="WenQuanYi Zen Hei"/>
        <family val="2"/>
      </rPr>
      <t xml:space="preserve">연간 </t>
    </r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교체 세대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설정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</si>
  <si>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①·② </t>
    </r>
    <r>
      <rPr>
        <sz val="10"/>
        <color rgb="FF000000"/>
        <rFont val="WenQuanYi Zen Hei"/>
        <family val="2"/>
      </rPr>
      <t xml:space="preserve">교차검증 후 설정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</si>
  <si>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비중</t>
    </r>
  </si>
  <si>
    <r>
      <rPr>
        <sz val="10"/>
        <color rgb="FF000000"/>
        <rFont val="Arial"/>
        <family val="0"/>
        <charset val="1"/>
      </rPr>
      <t xml:space="preserve">Premium Kitchen </t>
    </r>
    <r>
      <rPr>
        <sz val="10"/>
        <color rgb="FF000000"/>
        <rFont val="WenQuanYi Zen Hei"/>
        <family val="2"/>
      </rPr>
      <t xml:space="preserve">교체 세대</t>
    </r>
  </si>
  <si>
    <r>
      <rPr>
        <sz val="10"/>
        <color rgb="FF000000"/>
        <rFont val="Arial"/>
        <family val="0"/>
        <charset val="1"/>
      </rPr>
      <t xml:space="preserve">Remodeling </t>
    </r>
    <r>
      <rPr>
        <sz val="10"/>
        <color rgb="FF000000"/>
        <rFont val="WenQuanYi Zen Hei"/>
        <family val="2"/>
      </rPr>
      <t xml:space="preserve">적용 가능률</t>
    </r>
  </si>
  <si>
    <r>
      <rPr>
        <b val="true"/>
        <sz val="10"/>
        <rFont val="Arial"/>
        <family val="0"/>
        <charset val="1"/>
      </rPr>
      <t xml:space="preserve">① Remodeling </t>
    </r>
    <r>
      <rPr>
        <b val="true"/>
        <sz val="10"/>
        <rFont val="WenQuanYi Zen Hei"/>
        <family val="2"/>
      </rPr>
      <t xml:space="preserve">대상 세대</t>
    </r>
  </si>
  <si>
    <r>
      <rPr>
        <sz val="10"/>
        <color rgb="FF000000"/>
        <rFont val="Arial"/>
        <family val="0"/>
        <charset val="1"/>
      </rPr>
      <t xml:space="preserve">Remodeling </t>
    </r>
    <r>
      <rPr>
        <sz val="10"/>
        <color rgb="FF000000"/>
        <rFont val="WenQuanYi Zen Hei"/>
        <family val="2"/>
      </rPr>
      <t xml:space="preserve">패키지 기대 매출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</si>
  <si>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Arial"/>
        <family val="0"/>
        <charset val="1"/>
      </rPr>
      <t xml:space="preserve">Interface + Attach × (Robot + </t>
    </r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)</t>
    </r>
  </si>
  <si>
    <t xml:space="preserve">① SAM Remodeling</t>
  </si>
  <si>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</si>
  <si>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WenQuanYi Zen Hei"/>
        <family val="2"/>
      </rPr>
      <t xml:space="preserve">천세대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만원 </t>
    </r>
    <r>
      <rPr>
        <sz val="10"/>
        <color rgb="FF000000"/>
        <rFont val="Arial"/>
        <family val="0"/>
        <charset val="1"/>
      </rPr>
      <t xml:space="preserve">÷ 10 = </t>
    </r>
    <r>
      <rPr>
        <sz val="10"/>
        <color rgb="FF000000"/>
        <rFont val="WenQuanYi Zen Hei"/>
        <family val="2"/>
      </rPr>
      <t xml:space="preserve">억원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</si>
  <si>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세대 비중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재고</t>
    </r>
    <r>
      <rPr>
        <sz val="10"/>
        <color rgb="FF000000"/>
        <rFont val="Arial"/>
        <family val="0"/>
        <charset val="1"/>
      </rPr>
      <t xml:space="preserve">)</t>
    </r>
  </si>
  <si>
    <t xml:space="preserve">TO BE VALIDATED</t>
  </si>
  <si>
    <r>
      <rPr>
        <sz val="10"/>
        <color rgb="FF000000"/>
        <rFont val="Arial"/>
        <family val="0"/>
        <charset val="1"/>
      </rPr>
      <t xml:space="preserve">Retrofit </t>
    </r>
    <r>
      <rPr>
        <sz val="10"/>
        <color rgb="FF000000"/>
        <rFont val="WenQuanYi Zen Hei"/>
        <family val="2"/>
      </rPr>
      <t xml:space="preserve">호환률</t>
    </r>
  </si>
  <si>
    <r>
      <rPr>
        <sz val="10"/>
        <color rgb="FF000000"/>
        <rFont val="WenQuanYi Zen Hei"/>
        <family val="2"/>
      </rPr>
      <t xml:space="preserve">받은 평면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종 중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종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표본 작음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</si>
  <si>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Retrofit </t>
    </r>
    <r>
      <rPr>
        <sz val="10"/>
        <color rgb="FF000000"/>
        <rFont val="WenQuanYi Zen Hei"/>
        <family val="2"/>
      </rPr>
      <t xml:space="preserve">호환 세대 </t>
    </r>
    <r>
      <rPr>
        <sz val="10"/>
        <color rgb="FF000000"/>
        <rFont val="Arial"/>
        <family val="0"/>
        <charset val="1"/>
      </rPr>
      <t xml:space="preserve">Pool (</t>
    </r>
    <r>
      <rPr>
        <sz val="10"/>
        <color rgb="FF000000"/>
        <rFont val="WenQuanYi Zen Hei"/>
        <family val="2"/>
      </rPr>
      <t xml:space="preserve">재고</t>
    </r>
    <r>
      <rPr>
        <sz val="10"/>
        <color rgb="FF000000"/>
        <rFont val="Arial"/>
        <family val="0"/>
        <charset val="1"/>
      </rPr>
      <t xml:space="preserve">)</t>
    </r>
  </si>
  <si>
    <t xml:space="preserve">천세대</t>
  </si>
  <si>
    <r>
      <rPr>
        <sz val="10"/>
        <color rgb="FF000000"/>
        <rFont val="WenQuanYi Zen Hei"/>
        <family val="2"/>
      </rPr>
      <t xml:space="preserve">아파트 </t>
    </r>
    <r>
      <rPr>
        <sz val="10"/>
        <color rgb="FF000000"/>
        <rFont val="Arial"/>
        <family val="0"/>
        <charset val="1"/>
      </rPr>
      <t xml:space="preserve">× Premium × </t>
    </r>
    <r>
      <rPr>
        <sz val="10"/>
        <color rgb="FF000000"/>
        <rFont val="WenQuanYi Zen Hei"/>
        <family val="2"/>
      </rPr>
      <t xml:space="preserve">식세기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호환</t>
    </r>
  </si>
  <si>
    <r>
      <rPr>
        <sz val="10"/>
        <color rgb="FF000000"/>
        <rFont val="Arial"/>
        <family val="0"/>
        <charset val="1"/>
      </rPr>
      <t xml:space="preserve">Retrofit </t>
    </r>
    <r>
      <rPr>
        <sz val="10"/>
        <color rgb="FF000000"/>
        <rFont val="WenQuanYi Zen Hei"/>
        <family val="2"/>
      </rPr>
      <t xml:space="preserve">연간 전환율</t>
    </r>
  </si>
  <si>
    <r>
      <rPr>
        <b val="true"/>
        <sz val="10"/>
        <rFont val="Arial"/>
        <family val="0"/>
        <charset val="1"/>
      </rPr>
      <t xml:space="preserve">② Retrofit </t>
    </r>
    <r>
      <rPr>
        <b val="true"/>
        <sz val="10"/>
        <rFont val="WenQuanYi Zen Hei"/>
        <family val="2"/>
      </rPr>
      <t xml:space="preserve">대상 세대</t>
    </r>
  </si>
  <si>
    <r>
      <rPr>
        <sz val="10"/>
        <color rgb="FF000000"/>
        <rFont val="Arial"/>
        <family val="0"/>
        <charset val="1"/>
      </rPr>
      <t xml:space="preserve">Retrofit </t>
    </r>
    <r>
      <rPr>
        <sz val="10"/>
        <color rgb="FF000000"/>
        <rFont val="WenQuanYi Zen Hei"/>
        <family val="2"/>
      </rPr>
      <t xml:space="preserve">패키지 매출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</si>
  <si>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Arial"/>
        <family val="0"/>
        <charset val="1"/>
      </rPr>
      <t xml:space="preserve">Interface Kit + Robot + </t>
    </r>
    <r>
      <rPr>
        <sz val="10"/>
        <color rgb="FF000000"/>
        <rFont val="WenQuanYi Zen Hei"/>
        <family val="2"/>
      </rPr>
      <t xml:space="preserve">설치</t>
    </r>
  </si>
  <si>
    <t xml:space="preserve">② SAM Retrofit</t>
  </si>
  <si>
    <t xml:space="preserve">연간 신규 아파트 입주</t>
  </si>
  <si>
    <r>
      <rPr>
        <sz val="10"/>
        <color rgb="FF000000"/>
        <rFont val="Arial"/>
        <family val="0"/>
        <charset val="1"/>
      </rPr>
      <t xml:space="preserve">2025 23.6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· 2026E 18.3</t>
    </r>
    <r>
      <rPr>
        <sz val="10"/>
        <color rgb="FF000000"/>
        <rFont val="WenQuanYi Zen Hei"/>
        <family val="2"/>
      </rPr>
      <t xml:space="preserve">만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</si>
  <si>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단지 비중</t>
    </r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</si>
  <si>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</si>
  <si>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Arial"/>
        <family val="0"/>
        <charset val="1"/>
      </rPr>
      <t xml:space="preserve">Interface Option </t>
    </r>
    <r>
      <rPr>
        <sz val="10"/>
        <color rgb="FF000000"/>
        <rFont val="WenQuanYi Zen Hei"/>
        <family val="2"/>
      </rPr>
      <t xml:space="preserve">선택률</t>
    </r>
  </si>
  <si>
    <r>
      <rPr>
        <b val="true"/>
        <sz val="10"/>
        <rFont val="Arial"/>
        <family val="0"/>
        <charset val="1"/>
      </rPr>
      <t xml:space="preserve">③ New-build </t>
    </r>
    <r>
      <rPr>
        <b val="true"/>
        <sz val="10"/>
        <rFont val="WenQuanYi Zen Hei"/>
        <family val="2"/>
      </rPr>
      <t xml:space="preserve">대상 세대</t>
    </r>
  </si>
  <si>
    <r>
      <rPr>
        <sz val="10"/>
        <color rgb="FF000000"/>
        <rFont val="Arial"/>
        <family val="0"/>
        <charset val="1"/>
      </rPr>
      <t xml:space="preserve">New-build </t>
    </r>
    <r>
      <rPr>
        <sz val="10"/>
        <color rgb="FF000000"/>
        <rFont val="WenQuanYi Zen Hei"/>
        <family val="2"/>
      </rPr>
      <t xml:space="preserve">패키지 기대 매출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</si>
  <si>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Arial"/>
        <family val="0"/>
        <charset val="1"/>
      </rPr>
      <t xml:space="preserve">Option + </t>
    </r>
    <r>
      <rPr>
        <sz val="10"/>
        <color rgb="FF000000"/>
        <rFont val="WenQuanYi Zen Hei"/>
        <family val="2"/>
      </rPr>
      <t xml:space="preserve">입주 </t>
    </r>
    <r>
      <rPr>
        <sz val="10"/>
        <color rgb="FF000000"/>
        <rFont val="Arial"/>
        <family val="0"/>
        <charset val="1"/>
      </rPr>
      <t xml:space="preserve">Attach × (Robot + </t>
    </r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)</t>
    </r>
  </si>
  <si>
    <t xml:space="preserve">③ SAM New-build</t>
  </si>
  <si>
    <r>
      <rPr>
        <sz val="10"/>
        <color rgb="FF000000"/>
        <rFont val="WenQuanYi Zen Hei"/>
        <family val="2"/>
      </rPr>
      <t xml:space="preserve">구매 고객 </t>
    </r>
    <r>
      <rPr>
        <sz val="10"/>
        <color rgb="FF000000"/>
        <rFont val="Arial"/>
        <family val="0"/>
        <charset val="1"/>
      </rPr>
      <t xml:space="preserve">ARPU (Care × </t>
    </r>
    <r>
      <rPr>
        <sz val="10"/>
        <color rgb="FF000000"/>
        <rFont val="WenQuanYi Zen Hei"/>
        <family val="2"/>
      </rPr>
      <t xml:space="preserve">가입률 </t>
    </r>
    <r>
      <rPr>
        <sz val="10"/>
        <color rgb="FF000000"/>
        <rFont val="Arial"/>
        <family val="0"/>
        <charset val="1"/>
      </rPr>
      <t xml:space="preserve">+ Consumables × </t>
    </r>
    <r>
      <rPr>
        <sz val="10"/>
        <color rgb="FF000000"/>
        <rFont val="WenQuanYi Zen Hei"/>
        <family val="2"/>
      </rPr>
      <t xml:space="preserve">구매율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</si>
  <si>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④ Installed Base 1,000</t>
    </r>
    <r>
      <rPr>
        <b val="true"/>
        <sz val="10"/>
        <rFont val="WenQuanYi Zen Hei"/>
        <family val="2"/>
      </rPr>
      <t xml:space="preserve">대당 연 </t>
    </r>
    <r>
      <rPr>
        <b val="true"/>
        <sz val="10"/>
        <rFont val="Arial"/>
        <family val="0"/>
        <charset val="1"/>
      </rPr>
      <t xml:space="preserve">OPERATE </t>
    </r>
    <r>
      <rPr>
        <b val="true"/>
        <sz val="10"/>
        <rFont val="WenQuanYi Zen Hei"/>
        <family val="2"/>
      </rPr>
      <t xml:space="preserve">매출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구매 고객</t>
    </r>
    <r>
      <rPr>
        <b val="true"/>
        <sz val="10"/>
        <rFont val="Arial"/>
        <family val="0"/>
        <charset val="1"/>
      </rPr>
      <t xml:space="preserve">)</t>
    </r>
  </si>
  <si>
    <t xml:space="preserve">Y5 Installed Robot (Base Plan)</t>
  </si>
  <si>
    <t xml:space="preserve">FM_Base Y5</t>
  </si>
  <si>
    <r>
      <rPr>
        <b val="true"/>
        <sz val="10"/>
        <rFont val="Arial"/>
        <family val="0"/>
        <charset val="1"/>
      </rPr>
      <t xml:space="preserve">④ Y5 OPERATE </t>
    </r>
    <r>
      <rPr>
        <b val="true"/>
        <sz val="10"/>
        <rFont val="WenQuanYi Zen Hei"/>
        <family val="2"/>
      </rPr>
      <t xml:space="preserve">매출 </t>
    </r>
    <r>
      <rPr>
        <b val="true"/>
        <sz val="10"/>
        <rFont val="Arial"/>
        <family val="0"/>
        <charset val="1"/>
      </rPr>
      <t xml:space="preserve">(Base Plan)</t>
    </r>
  </si>
  <si>
    <r>
      <rPr>
        <sz val="10"/>
        <color rgb="FF000000"/>
        <rFont val="Arial"/>
        <family val="0"/>
        <charset val="1"/>
      </rPr>
      <t xml:space="preserve">FM_Base Y5 (Rental Partner </t>
    </r>
    <r>
      <rPr>
        <sz val="10"/>
        <color rgb="FF000000"/>
        <rFont val="WenQuanYi Zen Hei"/>
        <family val="2"/>
      </rPr>
      <t xml:space="preserve">보유분은 서비스료만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</si>
  <si>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전체 패키지 단가 </t>
    </r>
    <r>
      <rPr>
        <sz val="10"/>
        <color rgb="FF000000"/>
        <rFont val="Arial"/>
        <family val="0"/>
        <charset val="1"/>
      </rPr>
      <t xml:space="preserve">(Interface + Robot + </t>
    </r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</si>
  <si>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참고 </t>
    </r>
    <r>
      <rPr>
        <sz val="10"/>
        <color rgb="FF000000"/>
        <rFont val="Arial"/>
        <family val="0"/>
        <charset val="1"/>
      </rPr>
      <t xml:space="preserve">TAM: Premium </t>
    </r>
    <r>
      <rPr>
        <sz val="10"/>
        <color rgb="FF000000"/>
        <rFont val="WenQuanYi Zen Hei"/>
        <family val="2"/>
      </rPr>
      <t xml:space="preserve">세대 </t>
    </r>
    <r>
      <rPr>
        <sz val="10"/>
        <color rgb="FF000000"/>
        <rFont val="Arial"/>
        <family val="0"/>
        <charset val="1"/>
      </rPr>
      <t xml:space="preserve">(Remodeling + New-build) × </t>
    </r>
    <r>
      <rPr>
        <sz val="10"/>
        <color rgb="FF000000"/>
        <rFont val="WenQuanYi Zen Hei"/>
        <family val="2"/>
      </rPr>
      <t xml:space="preserve">전체 패키지</t>
    </r>
  </si>
  <si>
    <r>
      <rPr>
        <sz val="10"/>
        <color rgb="FF000000"/>
        <rFont val="WenQuanYi Zen Hei"/>
        <family val="2"/>
      </rPr>
      <t xml:space="preserve">본문 미사용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참고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</si>
  <si>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SAM </t>
    </r>
    <r>
      <rPr>
        <b val="true"/>
        <sz val="10"/>
        <rFont val="WenQuanYi Zen Hei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(① + ② + ③)</t>
    </r>
  </si>
  <si>
    <r>
      <rPr>
        <b val="true"/>
        <sz val="10"/>
        <rFont val="Arial"/>
        <family val="0"/>
        <charset val="1"/>
      </rPr>
      <t xml:space="preserve">SOM: Y5 </t>
    </r>
    <r>
      <rPr>
        <b val="true"/>
        <sz val="10"/>
        <rFont val="WenQuanYi Zen Hei"/>
        <family val="2"/>
      </rPr>
      <t xml:space="preserve">매출 </t>
    </r>
    <r>
      <rPr>
        <b val="true"/>
        <sz val="10"/>
        <rFont val="Arial"/>
        <family val="0"/>
        <charset val="1"/>
      </rPr>
      <t xml:space="preserve">(Base Plan)</t>
    </r>
  </si>
  <si>
    <r>
      <rPr>
        <b val="true"/>
        <sz val="10"/>
        <rFont val="Arial"/>
        <family val="0"/>
        <charset val="1"/>
      </rPr>
      <t xml:space="preserve">SOM </t>
    </r>
    <r>
      <rPr>
        <b val="true"/>
        <sz val="10"/>
        <rFont val="WenQuanYi Zen Hei"/>
        <family val="2"/>
      </rPr>
      <t xml:space="preserve">세대 </t>
    </r>
    <r>
      <rPr>
        <b val="true"/>
        <sz val="10"/>
        <rFont val="Arial"/>
        <family val="0"/>
        <charset val="1"/>
      </rPr>
      <t xml:space="preserve">/ SAM </t>
    </r>
    <r>
      <rPr>
        <b val="true"/>
        <sz val="10"/>
        <rFont val="WenQuanYi Zen Hei"/>
        <family val="2"/>
      </rPr>
      <t xml:space="preserve">세대</t>
    </r>
  </si>
  <si>
    <r>
      <rPr>
        <b val="true"/>
        <sz val="14"/>
        <rFont val="Arial"/>
        <family val="0"/>
        <charset val="1"/>
      </rPr>
      <t xml:space="preserve">Sensitivity — Remodeling </t>
    </r>
    <r>
      <rPr>
        <b val="true"/>
        <sz val="14"/>
        <rFont val="WenQuanYi Zen Hei"/>
        <family val="2"/>
      </rPr>
      <t xml:space="preserve">구매 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세대 </t>
    </r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WenQuanYi Zen Hei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Contribution (Base, Y3 </t>
    </r>
    <r>
      <rPr>
        <b val="true"/>
        <sz val="14"/>
        <rFont val="WenQuanYi Zen Hei"/>
        <family val="2"/>
      </rPr>
      <t xml:space="preserve">원가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직접판매</t>
    </r>
    <r>
      <rPr>
        <b val="true"/>
        <sz val="14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</si>
  <si>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각 행은 한 변수만 바꾼 파라미터 세트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파란 글자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변경값</t>
    </r>
    <r>
      <rPr>
        <sz val="11"/>
        <color theme="1"/>
        <rFont val="Calibri"/>
        <family val="2"/>
        <charset val="1"/>
      </rPr>
      <t xml:space="preserve">). Contribution </t>
    </r>
    <r>
      <rPr>
        <sz val="11"/>
        <color theme="1"/>
        <rFont val="WenQuanYi Zen Hei"/>
        <family val="2"/>
      </rPr>
      <t xml:space="preserve">수식은 </t>
    </r>
    <r>
      <rPr>
        <sz val="11"/>
        <color theme="1"/>
        <rFont val="Calibri"/>
        <family val="2"/>
        <charset val="1"/>
      </rPr>
      <t xml:space="preserve">Household </t>
    </r>
    <r>
      <rPr>
        <sz val="11"/>
        <color theme="1"/>
        <rFont val="WenQuanYi Zen Hei"/>
        <family val="2"/>
      </rPr>
      <t xml:space="preserve">시트와 동일 구조</t>
    </r>
    <r>
      <rPr>
        <sz val="11"/>
        <color theme="1"/>
        <rFont val="Calibri"/>
        <family val="2"/>
        <charset val="1"/>
      </rPr>
      <t xml:space="preserve">.</t>
    </r>
  </si>
  <si>
    <t xml:space="preserve">Case</t>
  </si>
  <si>
    <t xml:space="preserve">Δ vs Base</t>
  </si>
  <si>
    <r>
      <rPr>
        <sz val="10"/>
        <color rgb="FF000000"/>
        <rFont val="Arial"/>
        <family val="0"/>
        <charset val="1"/>
      </rPr>
      <t xml:space="preserve">Robot ASP (WTP) — </t>
    </r>
    <r>
      <rPr>
        <sz val="10"/>
        <color rgb="FF000000"/>
        <rFont val="WenQuanYi Zen Hei"/>
        <family val="2"/>
      </rPr>
      <t xml:space="preserve">불리</t>
    </r>
  </si>
  <si>
    <r>
      <rPr>
        <sz val="10"/>
        <color rgb="FF000000"/>
        <rFont val="Arial"/>
        <family val="0"/>
        <charset val="1"/>
      </rPr>
      <t xml:space="preserve">Robot ASP (WTP) — </t>
    </r>
    <r>
      <rPr>
        <sz val="10"/>
        <color rgb="FF000000"/>
        <rFont val="WenQuanYi Zen Hei"/>
        <family val="2"/>
      </rPr>
      <t xml:space="preserve">유리</t>
    </r>
  </si>
  <si>
    <r>
      <rPr>
        <sz val="10"/>
        <color rgb="FF000000"/>
        <rFont val="Arial"/>
        <family val="0"/>
        <charset val="1"/>
      </rPr>
      <t xml:space="preserve">Robot BOM — </t>
    </r>
    <r>
      <rPr>
        <sz val="10"/>
        <color rgb="FF000000"/>
        <rFont val="WenQuanYi Zen Hei"/>
        <family val="2"/>
      </rPr>
      <t xml:space="preserve">불리</t>
    </r>
  </si>
  <si>
    <r>
      <rPr>
        <sz val="10"/>
        <color rgb="FF000000"/>
        <rFont val="Arial"/>
        <family val="0"/>
        <charset val="1"/>
      </rPr>
      <t xml:space="preserve">Robot BOM — </t>
    </r>
    <r>
      <rPr>
        <sz val="10"/>
        <color rgb="FF000000"/>
        <rFont val="WenQuanYi Zen Hei"/>
        <family val="2"/>
      </rPr>
      <t xml:space="preserve">유리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</si>
  <si>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가격 — 불리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</si>
  <si>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가격 — 유리</t>
    </r>
  </si>
  <si>
    <t xml:space="preserve">직접판매 획득비용 — 불리</t>
  </si>
  <si>
    <t xml:space="preserve">직접판매 획득비용 — 유리</t>
  </si>
  <si>
    <r>
      <rPr>
        <sz val="10"/>
        <color rgb="FF000000"/>
        <rFont val="Arial"/>
        <family val="0"/>
        <charset val="1"/>
      </rPr>
      <t xml:space="preserve">Failure Rate — </t>
    </r>
    <r>
      <rPr>
        <sz val="10"/>
        <color rgb="FF000000"/>
        <rFont val="WenQuanYi Zen Hei"/>
        <family val="2"/>
      </rPr>
      <t xml:space="preserve">불리</t>
    </r>
  </si>
  <si>
    <r>
      <rPr>
        <sz val="10"/>
        <color rgb="FF000000"/>
        <rFont val="Arial"/>
        <family val="0"/>
        <charset val="1"/>
      </rPr>
      <t xml:space="preserve">Failure Rate — </t>
    </r>
    <r>
      <rPr>
        <sz val="10"/>
        <color rgb="FF000000"/>
        <rFont val="WenQuanYi Zen Hei"/>
        <family val="2"/>
      </rPr>
      <t xml:space="preserve">유리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</si>
  <si>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요금 — 불리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</si>
  <si>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요금 — 유리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</si>
  <si>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방문 원가 — 불리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</si>
  <si>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방문 원가 — 유리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</si>
  <si>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표준부품 사용률 — 불리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</si>
  <si>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표준부품 사용률 — 유리</t>
    </r>
  </si>
  <si>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Arial"/>
        <family val="0"/>
        <charset val="1"/>
      </rPr>
      <t xml:space="preserve">· Calibration </t>
    </r>
    <r>
      <rPr>
        <sz val="10"/>
        <color rgb="FF000000"/>
        <rFont val="WenQuanYi Zen Hei"/>
        <family val="2"/>
      </rPr>
      <t xml:space="preserve">원가 — 불리</t>
    </r>
  </si>
  <si>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Arial"/>
        <family val="0"/>
        <charset val="1"/>
      </rPr>
      <t xml:space="preserve">· Calibration </t>
    </r>
    <r>
      <rPr>
        <sz val="10"/>
        <color rgb="FF000000"/>
        <rFont val="WenQuanYi Zen Hei"/>
        <family val="2"/>
      </rPr>
      <t xml:space="preserve">원가 — 유리</t>
    </r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</si>
  <si>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구매율 — 불리</t>
    </r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</si>
  <si>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구매율 — 유리</t>
    </r>
  </si>
  <si>
    <r>
      <rPr>
        <b val="true"/>
        <sz val="10"/>
        <rFont val="WenQuanYi Zen Hei"/>
        <family val="2"/>
      </rPr>
      <t xml:space="preserve">회사 </t>
    </r>
    <r>
      <rPr>
        <b val="true"/>
        <sz val="10"/>
        <rFont val="Arial"/>
        <family val="0"/>
        <charset val="1"/>
      </rPr>
      <t xml:space="preserve">Y5 Contribution </t>
    </r>
    <r>
      <rPr>
        <b val="true"/>
        <sz val="10"/>
        <rFont val="WenQuanYi Zen Hei"/>
        <family val="2"/>
      </rPr>
      <t xml:space="preserve">민감도 </t>
    </r>
    <r>
      <rPr>
        <b val="true"/>
        <sz val="10"/>
        <rFont val="Arial"/>
        <family val="0"/>
        <charset val="1"/>
      </rPr>
      <t xml:space="preserve">(Base, 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Arial"/>
        <family val="0"/>
        <charset val="1"/>
      </rPr>
      <t xml:space="preserve">) — STATIC SNAPSHOT: model.py sens_company() </t>
    </r>
    <r>
      <rPr>
        <b val="true"/>
        <sz val="10"/>
        <rFont val="WenQuanYi Zen Hei"/>
        <family val="2"/>
      </rPr>
      <t xml:space="preserve">결과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WenQuanYi Zen Hei"/>
        <family val="2"/>
      </rPr>
      <t xml:space="preserve">입력 변경 시 </t>
    </r>
    <r>
      <rPr>
        <b val="true"/>
        <sz val="10"/>
        <rFont val="Arial"/>
        <family val="0"/>
        <charset val="1"/>
      </rPr>
      <t xml:space="preserve">model.py </t>
    </r>
    <r>
      <rPr>
        <b val="true"/>
        <sz val="10"/>
        <rFont val="WenQuanYi Zen Hei"/>
        <family val="2"/>
      </rPr>
      <t xml:space="preserve">재실행 필요</t>
    </r>
  </si>
  <si>
    <r>
      <rPr>
        <b val="true"/>
        <sz val="10"/>
        <color rgb="FFFFFFFF"/>
        <rFont val="WenQuanYi Zen Hei"/>
        <family val="2"/>
      </rPr>
      <t xml:space="preserve">변수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불리 ↔ 유리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</si>
  <si>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불리 </t>
    </r>
    <r>
      <rPr>
        <b val="true"/>
        <sz val="10"/>
        <color rgb="FFFFFFFF"/>
        <rFont val="Arial"/>
        <family val="0"/>
        <charset val="1"/>
      </rPr>
      <t xml:space="preserve">Δ</t>
    </r>
  </si>
  <si>
    <r>
      <rPr>
        <b val="true"/>
        <sz val="10"/>
        <color rgb="FFFFFFFF"/>
        <rFont val="WenQuanYi Zen Hei"/>
        <family val="2"/>
      </rPr>
      <t xml:space="preserve">유리 </t>
    </r>
    <r>
      <rPr>
        <b val="true"/>
        <sz val="10"/>
        <color rgb="FFFFFFFF"/>
        <rFont val="Arial"/>
        <family val="0"/>
        <charset val="1"/>
      </rPr>
      <t xml:space="preserve">Δ</t>
    </r>
  </si>
  <si>
    <t xml:space="preserve">Base Y5 Contribution</t>
  </si>
  <si>
    <t xml:space="preserve">Customer WTP (Robot ASP · Interface ±20%)</t>
  </si>
  <si>
    <t xml:space="preserve">Robot BOM ±20%</t>
  </si>
  <si>
    <r>
      <rPr>
        <sz val="10"/>
        <color rgb="FF000000"/>
        <rFont val="Arial"/>
        <family val="0"/>
        <charset val="1"/>
      </rPr>
      <t xml:space="preserve">Partner </t>
    </r>
    <r>
      <rPr>
        <sz val="10"/>
        <color rgb="FF000000"/>
        <rFont val="WenQuanYi Zen Hei"/>
        <family val="2"/>
      </rPr>
      <t xml:space="preserve">경유 </t>
    </r>
    <r>
      <rPr>
        <sz val="10"/>
        <color rgb="FF000000"/>
        <rFont val="Arial"/>
        <family val="0"/>
        <charset val="1"/>
      </rPr>
      <t xml:space="preserve">Remodeling ±30%</t>
    </r>
  </si>
  <si>
    <r>
      <rPr>
        <sz val="10"/>
        <color rgb="FF000000"/>
        <rFont val="Arial"/>
        <family val="0"/>
        <charset val="1"/>
      </rPr>
      <t xml:space="preserve">Retrofit </t>
    </r>
    <r>
      <rPr>
        <sz val="10"/>
        <color rgb="FF000000"/>
        <rFont val="WenQuanYi Zen Hei"/>
        <family val="2"/>
      </rPr>
      <t xml:space="preserve">물량 </t>
    </r>
    <r>
      <rPr>
        <sz val="10"/>
        <color rgb="FF000000"/>
        <rFont val="Arial"/>
        <family val="0"/>
        <charset val="1"/>
      </rPr>
      <t xml:space="preserve">0 ↔ 2</t>
    </r>
    <r>
      <rPr>
        <sz val="10"/>
        <color rgb="FF000000"/>
        <rFont val="WenQuanYi Zen Hei"/>
        <family val="2"/>
      </rPr>
      <t xml:space="preserve">배</t>
    </r>
  </si>
  <si>
    <t xml:space="preserve">Robot Attach Rate 65% ↔ 95%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</si>
  <si>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비중 </t>
    </r>
    <r>
      <rPr>
        <sz val="10"/>
        <color rgb="FF000000"/>
        <rFont val="Arial"/>
        <family val="0"/>
        <charset val="1"/>
      </rPr>
      <t xml:space="preserve">60% ↔ 20%</t>
    </r>
  </si>
  <si>
    <r>
      <rPr>
        <sz val="10"/>
        <color rgb="FF000000"/>
        <rFont val="Arial"/>
        <family val="0"/>
        <charset val="1"/>
      </rPr>
      <t xml:space="preserve">Failure Rate 1.2 ↔ 0.3</t>
    </r>
    <r>
      <rPr>
        <sz val="10"/>
        <color rgb="FF000000"/>
        <rFont val="WenQuanYi Zen Hei"/>
        <family val="2"/>
      </rPr>
      <t xml:space="preserve">회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</si>
  <si>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표준부품 사용률 </t>
    </r>
    <r>
      <rPr>
        <sz val="10"/>
        <color rgb="FF000000"/>
        <rFont val="Arial"/>
        <family val="0"/>
        <charset val="1"/>
      </rPr>
      <t xml:space="preserve">-15pp/+10pp</t>
    </r>
  </si>
  <si>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Arial"/>
        <family val="0"/>
        <charset val="1"/>
      </rPr>
      <t xml:space="preserve">· Calibration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±50%</t>
    </r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</si>
  <si>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Option </t>
    </r>
    <r>
      <rPr>
        <sz val="10"/>
        <color rgb="FF000000"/>
        <rFont val="WenQuanYi Zen Hei"/>
        <family val="2"/>
      </rPr>
      <t xml:space="preserve">선택률 </t>
    </r>
    <r>
      <rPr>
        <sz val="10"/>
        <color rgb="FF000000"/>
        <rFont val="Arial"/>
        <family val="0"/>
        <charset val="1"/>
      </rPr>
      <t xml:space="preserve">5% ↔ 15%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</si>
  <si>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방문 원가 </t>
    </r>
    <r>
      <rPr>
        <sz val="10"/>
        <color rgb="FF000000"/>
        <rFont val="Arial"/>
        <family val="0"/>
        <charset val="1"/>
      </rPr>
      <t xml:space="preserve">±30%</t>
    </r>
  </si>
  <si>
    <r>
      <rPr>
        <b val="true"/>
        <sz val="14"/>
        <rFont val="Arial"/>
        <family val="0"/>
        <charset val="1"/>
      </rPr>
      <t xml:space="preserve">24</t>
    </r>
    <r>
      <rPr>
        <b val="true"/>
        <sz val="14"/>
        <rFont val="WenQuanYi Zen Hei"/>
        <family val="2"/>
      </rPr>
      <t xml:space="preserve">개월 자금 계획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 — </t>
    </r>
    <r>
      <rPr>
        <b val="true"/>
        <sz val="14"/>
        <rFont val="WenQuanYi Zen Hei"/>
        <family val="2"/>
      </rPr>
      <t xml:space="preserve">팀 계획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사용처 </t>
    </r>
    <r>
      <rPr>
        <b val="true"/>
        <sz val="14"/>
        <rFont val="Arial"/>
        <family val="0"/>
        <charset val="1"/>
      </rPr>
      <t xml:space="preserve">· TIPS </t>
    </r>
    <r>
      <rPr>
        <b val="true"/>
        <sz val="14"/>
        <rFont val="WenQuanYi Zen Hei"/>
        <family val="2"/>
      </rPr>
      <t xml:space="preserve">과제 편성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재원 </t>
    </r>
    <r>
      <rPr>
        <b val="true"/>
        <sz val="14"/>
        <rFont val="Arial"/>
        <family val="0"/>
        <charset val="1"/>
      </rPr>
      <t xml:space="preserve">· Seed </t>
    </r>
    <r>
      <rPr>
        <b val="true"/>
        <sz val="14"/>
        <rFont val="WenQuanYi Zen Hei"/>
        <family val="2"/>
      </rPr>
      <t xml:space="preserve">범위</t>
    </r>
  </si>
  <si>
    <r>
      <rPr>
        <sz val="11"/>
        <color theme="1"/>
        <rFont val="WenQuanYi Zen Hei"/>
        <family val="2"/>
      </rPr>
      <t xml:space="preserve">팀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지출 표의 파란 값이 </t>
    </r>
    <r>
      <rPr>
        <sz val="11"/>
        <color theme="1"/>
        <rFont val="Calibri"/>
        <family val="2"/>
        <charset val="1"/>
      </rPr>
      <t xml:space="preserve">Inputs_Yearly Y1~Y2 </t>
    </r>
    <r>
      <rPr>
        <sz val="11"/>
        <color theme="1"/>
        <rFont val="WenQuanYi Zen Hei"/>
        <family val="2"/>
      </rPr>
      <t xml:space="preserve">지출의 원천 </t>
    </r>
    <r>
      <rPr>
        <sz val="11"/>
        <color theme="1"/>
        <rFont val="Calibri"/>
        <family val="2"/>
        <charset val="1"/>
      </rPr>
      <t xml:space="preserve">(model.py TEAM · COSTS). Founder 2</t>
    </r>
    <r>
      <rPr>
        <sz val="11"/>
        <color theme="1"/>
        <rFont val="WenQuanYi Zen Hei"/>
        <family val="2"/>
      </rPr>
      <t xml:space="preserve">인은 </t>
    </r>
    <r>
      <rPr>
        <sz val="11"/>
        <color theme="1"/>
        <rFont val="Calibri"/>
        <family val="2"/>
        <charset val="1"/>
      </rPr>
      <t xml:space="preserve">TIPS </t>
    </r>
    <r>
      <rPr>
        <sz val="11"/>
        <color theme="1"/>
        <rFont val="WenQuanYi Zen Hei"/>
        <family val="2"/>
      </rPr>
      <t xml:space="preserve">요건 기준의 자리이며 인물 정보는 비어 있음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모든 값 </t>
    </r>
    <r>
      <rPr>
        <sz val="11"/>
        <color theme="1"/>
        <rFont val="Calibri"/>
        <family val="2"/>
        <charset val="1"/>
      </rPr>
      <t xml:space="preserve">ASSUMPTION, </t>
    </r>
    <r>
      <rPr>
        <sz val="11"/>
        <color theme="1"/>
        <rFont val="WenQuanYi Zen Hei"/>
        <family val="2"/>
      </rPr>
      <t xml:space="preserve">정부지원 규정은 </t>
    </r>
    <r>
      <rPr>
        <sz val="11"/>
        <color theme="1"/>
        <rFont val="Calibri"/>
        <family val="2"/>
        <charset val="1"/>
      </rPr>
      <t xml:space="preserve">FACT (2026 </t>
    </r>
    <r>
      <rPr>
        <sz val="11"/>
        <color theme="1"/>
        <rFont val="WenQuanYi Zen Hei"/>
        <family val="2"/>
      </rPr>
      <t xml:space="preserve">공고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선정 미확정</t>
    </r>
    <r>
      <rPr>
        <sz val="11"/>
        <color theme="1"/>
        <rFont val="Calibri"/>
        <family val="2"/>
        <charset val="1"/>
      </rPr>
      <t xml:space="preserve">).</t>
    </r>
  </si>
  <si>
    <t xml:space="preserve">역할</t>
  </si>
  <si>
    <t xml:space="preserve">구분</t>
  </si>
  <si>
    <t xml:space="preserve">시작 월</t>
  </si>
  <si>
    <t xml:space="preserve">인당 연 인건비</t>
  </si>
  <si>
    <r>
      <rPr>
        <b val="true"/>
        <sz val="10"/>
        <color rgb="FFFFFFFF"/>
        <rFont val="Arial"/>
        <family val="0"/>
        <charset val="1"/>
      </rPr>
      <t xml:space="preserve">FTE </t>
    </r>
    <r>
      <rPr>
        <b val="true"/>
        <sz val="10"/>
        <color rgb="FFFFFFFF"/>
        <rFont val="WenQuanYi Zen Hei"/>
        <family val="2"/>
      </rPr>
      <t xml:space="preserve">비율</t>
    </r>
  </si>
  <si>
    <r>
      <rPr>
        <b val="true"/>
        <sz val="10"/>
        <color rgb="FFFFFFFF"/>
        <rFont val="Arial"/>
        <family val="0"/>
        <charset val="1"/>
      </rPr>
      <t xml:space="preserve">TIPS </t>
    </r>
    <r>
      <rPr>
        <b val="true"/>
        <sz val="10"/>
        <color rgb="FFFFFFFF"/>
        <rFont val="WenQuanYi Zen Hei"/>
        <family val="2"/>
      </rPr>
      <t xml:space="preserve">참여율</t>
    </r>
  </si>
  <si>
    <r>
      <rPr>
        <b val="true"/>
        <sz val="10"/>
        <color rgb="FFFFFFFF"/>
        <rFont val="Arial"/>
        <family val="0"/>
        <charset val="1"/>
      </rPr>
      <t xml:space="preserve">Lean </t>
    </r>
    <r>
      <rPr>
        <b val="true"/>
        <sz val="10"/>
        <color rgb="FFFFFFFF"/>
        <rFont val="WenQuanYi Zen Hei"/>
        <family val="2"/>
      </rPr>
      <t xml:space="preserve">포함</t>
    </r>
  </si>
  <si>
    <r>
      <rPr>
        <b val="true"/>
        <sz val="10"/>
        <color rgb="FFFFFFFF"/>
        <rFont val="Arial"/>
        <family val="0"/>
        <charset val="1"/>
      </rPr>
      <t xml:space="preserve">Y1 </t>
    </r>
    <r>
      <rPr>
        <b val="true"/>
        <sz val="10"/>
        <color rgb="FFFFFFFF"/>
        <rFont val="WenQuanYi Zen Hei"/>
        <family val="2"/>
      </rPr>
      <t xml:space="preserve">인월</t>
    </r>
  </si>
  <si>
    <r>
      <rPr>
        <b val="true"/>
        <sz val="10"/>
        <color rgb="FFFFFFFF"/>
        <rFont val="Arial"/>
        <family val="0"/>
        <charset val="1"/>
      </rPr>
      <t xml:space="preserve">Y2 </t>
    </r>
    <r>
      <rPr>
        <b val="true"/>
        <sz val="10"/>
        <color rgb="FFFFFFFF"/>
        <rFont val="WenQuanYi Zen Hei"/>
        <family val="2"/>
      </rPr>
      <t xml:space="preserve">인월</t>
    </r>
  </si>
  <si>
    <r>
      <rPr>
        <b val="true"/>
        <sz val="10"/>
        <color rgb="FFFFFFFF"/>
        <rFont val="Arial"/>
        <family val="0"/>
        <charset val="1"/>
      </rPr>
      <t xml:space="preserve">Y1 </t>
    </r>
    <r>
      <rPr>
        <b val="true"/>
        <sz val="10"/>
        <color rgb="FFFFFFFF"/>
        <rFont val="WenQuanYi Zen Hei"/>
        <family val="2"/>
      </rPr>
      <t xml:space="preserve">인건비</t>
    </r>
  </si>
  <si>
    <r>
      <rPr>
        <b val="true"/>
        <sz val="10"/>
        <color rgb="FFFFFFFF"/>
        <rFont val="Arial"/>
        <family val="0"/>
        <charset val="1"/>
      </rPr>
      <t xml:space="preserve">Y2 </t>
    </r>
    <r>
      <rPr>
        <b val="true"/>
        <sz val="10"/>
        <color rgb="FFFFFFFF"/>
        <rFont val="WenQuanYi Zen Hei"/>
        <family val="2"/>
      </rPr>
      <t xml:space="preserve">인건비</t>
    </r>
  </si>
  <si>
    <r>
      <rPr>
        <b val="true"/>
        <sz val="10"/>
        <color rgb="FFFFFFFF"/>
        <rFont val="Arial"/>
        <family val="0"/>
        <charset val="1"/>
      </rPr>
      <t xml:space="preserve">TIPS </t>
    </r>
    <r>
      <rPr>
        <b val="true"/>
        <sz val="10"/>
        <color rgb="FFFFFFFF"/>
        <rFont val="WenQuanYi Zen Hei"/>
        <family val="2"/>
      </rPr>
      <t xml:space="preserve">인건비 </t>
    </r>
    <r>
      <rPr>
        <b val="true"/>
        <sz val="10"/>
        <color rgb="FFFFFFFF"/>
        <rFont val="Arial"/>
        <family val="0"/>
        <charset val="1"/>
      </rPr>
      <t xml:space="preserve">Y1</t>
    </r>
  </si>
  <si>
    <r>
      <rPr>
        <b val="true"/>
        <sz val="10"/>
        <color rgb="FFFFFFFF"/>
        <rFont val="Arial"/>
        <family val="0"/>
        <charset val="1"/>
      </rPr>
      <t xml:space="preserve">TIPS </t>
    </r>
    <r>
      <rPr>
        <b val="true"/>
        <sz val="10"/>
        <color rgb="FFFFFFFF"/>
        <rFont val="WenQuanYi Zen Hei"/>
        <family val="2"/>
      </rPr>
      <t xml:space="preserve">인건비 </t>
    </r>
    <r>
      <rPr>
        <b val="true"/>
        <sz val="10"/>
        <color rgb="FFFFFFFF"/>
        <rFont val="Arial"/>
        <family val="0"/>
        <charset val="1"/>
      </rPr>
      <t xml:space="preserve">Y2</t>
    </r>
  </si>
  <si>
    <t xml:space="preserve">F1</t>
  </si>
  <si>
    <r>
      <rPr>
        <sz val="10"/>
        <color rgb="FF000000"/>
        <rFont val="WenQuanYi Zen Hei"/>
        <family val="2"/>
      </rPr>
      <t xml:space="preserve">대표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사업 총괄 </t>
    </r>
    <r>
      <rPr>
        <sz val="10"/>
        <color rgb="FF000000"/>
        <rFont val="Arial"/>
        <family val="0"/>
        <charset val="1"/>
      </rPr>
      <t xml:space="preserve">[Founder </t>
    </r>
    <r>
      <rPr>
        <sz val="10"/>
        <color rgb="FF000000"/>
        <rFont val="WenQuanYi Zen Hei"/>
        <family val="2"/>
      </rPr>
      <t xml:space="preserve">정보 필요</t>
    </r>
    <r>
      <rPr>
        <sz val="10"/>
        <color rgb="FF000000"/>
        <rFont val="Arial"/>
        <family val="0"/>
        <charset val="1"/>
      </rPr>
      <t xml:space="preserve">]</t>
    </r>
  </si>
  <si>
    <t xml:space="preserve">Founder</t>
  </si>
  <si>
    <t xml:space="preserve">예</t>
  </si>
  <si>
    <t xml:space="preserve">F2</t>
  </si>
  <si>
    <r>
      <rPr>
        <sz val="10"/>
        <color rgb="FF000000"/>
        <rFont val="WenQuanYi Zen Hei"/>
        <family val="2"/>
      </rPr>
      <t xml:space="preserve">공동창업자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기술 총괄 </t>
    </r>
    <r>
      <rPr>
        <sz val="10"/>
        <color rgb="FF000000"/>
        <rFont val="Arial"/>
        <family val="0"/>
        <charset val="1"/>
      </rPr>
      <t xml:space="preserve">[Founder </t>
    </r>
    <r>
      <rPr>
        <sz val="10"/>
        <color rgb="FF000000"/>
        <rFont val="WenQuanYi Zen Hei"/>
        <family val="2"/>
      </rPr>
      <t xml:space="preserve">정보 필요</t>
    </r>
    <r>
      <rPr>
        <sz val="10"/>
        <color rgb="FF000000"/>
        <rFont val="Arial"/>
        <family val="0"/>
        <charset val="1"/>
      </rPr>
      <t xml:space="preserve">]</t>
    </r>
  </si>
  <si>
    <t xml:space="preserve">E1</t>
  </si>
  <si>
    <r>
      <rPr>
        <sz val="10"/>
        <color rgb="FF000000"/>
        <rFont val="Arial"/>
        <family val="0"/>
        <charset val="1"/>
      </rPr>
      <t xml:space="preserve">Manipulation · </t>
    </r>
    <r>
      <rPr>
        <sz val="10"/>
        <color rgb="FF000000"/>
        <rFont val="WenQuanYi Zen Hei"/>
        <family val="2"/>
      </rPr>
      <t xml:space="preserve">제어 리드</t>
    </r>
  </si>
  <si>
    <t xml:space="preserve">R&amp;D</t>
  </si>
  <si>
    <t xml:space="preserve">E2</t>
  </si>
  <si>
    <r>
      <rPr>
        <sz val="10"/>
        <color rgb="FF000000"/>
        <rFont val="Arial"/>
        <family val="0"/>
        <charset val="1"/>
      </rPr>
      <t xml:space="preserve">Perception · ML </t>
    </r>
    <r>
      <rPr>
        <sz val="10"/>
        <color rgb="FF000000"/>
        <rFont val="WenQuanYi Zen Hei"/>
        <family val="2"/>
      </rPr>
      <t xml:space="preserve">리드</t>
    </r>
  </si>
  <si>
    <t xml:space="preserve">E3</t>
  </si>
  <si>
    <r>
      <rPr>
        <sz val="10"/>
        <color rgb="FF000000"/>
        <rFont val="Arial"/>
        <family val="0"/>
        <charset val="1"/>
      </rPr>
      <t xml:space="preserve">Hand · </t>
    </r>
    <r>
      <rPr>
        <sz val="10"/>
        <color rgb="FF000000"/>
        <rFont val="WenQuanYi Zen Hei"/>
        <family val="2"/>
      </rPr>
      <t xml:space="preserve">기구 리드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메카트로닉스</t>
    </r>
    <r>
      <rPr>
        <sz val="10"/>
        <color rgb="FF000000"/>
        <rFont val="Arial"/>
        <family val="0"/>
        <charset val="1"/>
      </rPr>
      <t xml:space="preserve">)</t>
    </r>
  </si>
  <si>
    <t xml:space="preserve">E4</t>
  </si>
  <si>
    <r>
      <rPr>
        <sz val="10"/>
        <color rgb="FF000000"/>
        <rFont val="WenQuanYi Zen Hei"/>
        <family val="2"/>
      </rPr>
      <t xml:space="preserve">임베디드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전기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안전</t>
    </r>
  </si>
  <si>
    <t xml:space="preserve">E5</t>
  </si>
  <si>
    <r>
      <rPr>
        <sz val="10"/>
        <color rgb="FF000000"/>
        <rFont val="Arial"/>
        <family val="0"/>
        <charset val="1"/>
      </rPr>
      <t xml:space="preserve">Robot SW · </t>
    </r>
    <r>
      <rPr>
        <sz val="10"/>
        <color rgb="FF000000"/>
        <rFont val="WenQuanYi Zen Hei"/>
        <family val="2"/>
      </rPr>
      <t xml:space="preserve">통합 </t>
    </r>
    <r>
      <rPr>
        <sz val="10"/>
        <color rgb="FF000000"/>
        <rFont val="Arial"/>
        <family val="0"/>
        <charset val="1"/>
      </rPr>
      <t xml:space="preserve">(Motion · Skill)</t>
    </r>
  </si>
  <si>
    <t xml:space="preserve">B1</t>
  </si>
  <si>
    <r>
      <rPr>
        <sz val="10"/>
        <color rgb="FF000000"/>
        <rFont val="WenQuanYi Zen Hei"/>
        <family val="2"/>
      </rPr>
      <t xml:space="preserve">제품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사업개발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고객 검증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파트너</t>
    </r>
    <r>
      <rPr>
        <sz val="10"/>
        <color rgb="FF000000"/>
        <rFont val="Arial"/>
        <family val="0"/>
        <charset val="1"/>
      </rPr>
      <t xml:space="preserve">)</t>
    </r>
  </si>
  <si>
    <t xml:space="preserve">사업</t>
  </si>
  <si>
    <t xml:space="preserve">E6</t>
  </si>
  <si>
    <r>
      <rPr>
        <sz val="10"/>
        <color rgb="FF000000"/>
        <rFont val="Arial"/>
        <family val="0"/>
        <charset val="1"/>
      </rPr>
      <t xml:space="preserve">Hand </t>
    </r>
    <r>
      <rPr>
        <sz val="10"/>
        <color rgb="FF000000"/>
        <rFont val="WenQuanYi Zen Hei"/>
        <family val="2"/>
      </rPr>
      <t xml:space="preserve">센싱 </t>
    </r>
    <r>
      <rPr>
        <sz val="10"/>
        <color rgb="FF000000"/>
        <rFont val="Arial"/>
        <family val="0"/>
        <charset val="1"/>
      </rPr>
      <t xml:space="preserve">(Grip Force · Slip)</t>
    </r>
  </si>
  <si>
    <t xml:space="preserve">아니오</t>
  </si>
  <si>
    <t xml:space="preserve">O1</t>
  </si>
  <si>
    <r>
      <rPr>
        <sz val="10"/>
        <color rgb="FF000000"/>
        <rFont val="WenQuanYi Zen Hei"/>
        <family val="2"/>
      </rPr>
      <t xml:space="preserve">경영지원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재무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과제 관리</t>
    </r>
    <r>
      <rPr>
        <sz val="10"/>
        <color rgb="FF000000"/>
        <rFont val="Arial"/>
        <family val="0"/>
        <charset val="1"/>
      </rPr>
      <t xml:space="preserve">, 0.5 FTE)</t>
    </r>
  </si>
  <si>
    <t xml:space="preserve">경영지원</t>
  </si>
  <si>
    <t xml:space="preserve">E7</t>
  </si>
  <si>
    <r>
      <rPr>
        <sz val="10"/>
        <color rgb="FF000000"/>
        <rFont val="WenQuanYi Zen Hei"/>
        <family val="2"/>
      </rPr>
      <t xml:space="preserve">시험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신뢰성 </t>
    </r>
    <r>
      <rPr>
        <sz val="10"/>
        <color rgb="FF000000"/>
        <rFont val="Arial"/>
        <family val="0"/>
        <charset val="1"/>
      </rPr>
      <t xml:space="preserve">(Test · QA)</t>
    </r>
  </si>
  <si>
    <r>
      <rPr>
        <sz val="10"/>
        <color rgb="FF000000"/>
        <rFont val="WenQuanYi Zen Hei"/>
        <family val="2"/>
      </rPr>
      <t xml:space="preserve">예 </t>
    </r>
    <r>
      <rPr>
        <sz val="10"/>
        <color rgb="FF000000"/>
        <rFont val="Arial"/>
        <family val="0"/>
        <charset val="1"/>
      </rPr>
      <t xml:space="preserve">(M19 </t>
    </r>
    <r>
      <rPr>
        <sz val="10"/>
        <color rgb="FF000000"/>
        <rFont val="WenQuanYi Zen Hei"/>
        <family val="2"/>
      </rPr>
      <t xml:space="preserve">시작</t>
    </r>
    <r>
      <rPr>
        <sz val="10"/>
        <color rgb="FF000000"/>
        <rFont val="Arial"/>
        <family val="0"/>
        <charset val="1"/>
      </rPr>
      <t xml:space="preserve">)</t>
    </r>
  </si>
  <si>
    <t xml:space="preserve">S1</t>
  </si>
  <si>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Arial"/>
        <family val="0"/>
        <charset val="1"/>
      </rPr>
      <t xml:space="preserve">· Commissioning </t>
    </r>
    <r>
      <rPr>
        <sz val="10"/>
        <color rgb="FF000000"/>
        <rFont val="WenQuanYi Zen Hei"/>
        <family val="2"/>
      </rPr>
      <t xml:space="preserve">엔지니어</t>
    </r>
  </si>
  <si>
    <t xml:space="preserve">현장</t>
  </si>
  <si>
    <t xml:space="preserve">E8</t>
  </si>
  <si>
    <r>
      <rPr>
        <sz val="10"/>
        <color rgb="FF000000"/>
        <rFont val="Arial"/>
        <family val="0"/>
        <charset val="1"/>
      </rPr>
      <t xml:space="preserve">Skill · Data </t>
    </r>
    <r>
      <rPr>
        <sz val="10"/>
        <color rgb="FF000000"/>
        <rFont val="WenQuanYi Zen Hei"/>
        <family val="2"/>
      </rPr>
      <t xml:space="preserve">엔지니어</t>
    </r>
  </si>
  <si>
    <t xml:space="preserve">S2</t>
  </si>
  <si>
    <r>
      <rPr>
        <sz val="10"/>
        <color rgb="FF000000"/>
        <rFont val="WenQuanYi Zen Hei"/>
        <family val="2"/>
      </rPr>
      <t xml:space="preserve">현장 서비스 </t>
    </r>
    <r>
      <rPr>
        <sz val="10"/>
        <color rgb="FF000000"/>
        <rFont val="Arial"/>
        <family val="0"/>
        <charset val="1"/>
      </rPr>
      <t xml:space="preserve">Technician</t>
    </r>
  </si>
  <si>
    <r>
      <rPr>
        <sz val="10"/>
        <color rgb="FF000000"/>
        <rFont val="WenQuanYi Zen Hei"/>
        <family val="2"/>
      </rPr>
      <t xml:space="preserve">평균 </t>
    </r>
    <r>
      <rPr>
        <sz val="10"/>
        <color rgb="FF000000"/>
        <rFont val="Arial"/>
        <family val="0"/>
        <charset val="1"/>
      </rPr>
      <t xml:space="preserve">FTE (</t>
    </r>
    <r>
      <rPr>
        <sz val="10"/>
        <color rgb="FF000000"/>
        <rFont val="WenQuanYi Zen Hei"/>
        <family val="2"/>
      </rPr>
      <t xml:space="preserve">인월 </t>
    </r>
    <r>
      <rPr>
        <sz val="10"/>
        <color rgb="FF000000"/>
        <rFont val="Arial"/>
        <family val="0"/>
        <charset val="1"/>
      </rPr>
      <t xml:space="preserve">÷ 12)</t>
    </r>
  </si>
  <si>
    <r>
      <rPr>
        <sz val="10"/>
        <color rgb="FF000000"/>
        <rFont val="WenQuanYi Zen Hei"/>
        <family val="2"/>
      </rPr>
      <t xml:space="preserve">검증</t>
    </r>
    <r>
      <rPr>
        <sz val="10"/>
        <color rgb="FF000000"/>
        <rFont val="Arial"/>
        <family val="0"/>
        <charset val="1"/>
      </rPr>
      <t xml:space="preserve">: FM_Base </t>
    </r>
    <r>
      <rPr>
        <sz val="10"/>
        <color rgb="FF000000"/>
        <rFont val="WenQuanYi Zen Hei"/>
        <family val="2"/>
      </rPr>
      <t xml:space="preserve">인건비 − 팀 계획 </t>
    </r>
    <r>
      <rPr>
        <sz val="10"/>
        <color rgb="FF000000"/>
        <rFont val="Arial"/>
        <family val="0"/>
        <charset val="1"/>
      </rPr>
      <t xml:space="preserve">(0</t>
    </r>
    <r>
      <rPr>
        <sz val="10"/>
        <color rgb="FF000000"/>
        <rFont val="WenQuanYi Zen Hei"/>
        <family val="2"/>
      </rPr>
      <t xml:space="preserve">이어야 함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</si>
  <si>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B. </t>
    </r>
    <r>
      <rPr>
        <b val="true"/>
        <sz val="10"/>
        <color rgb="FFFFFFFF"/>
        <rFont val="WenQuanYi Zen Hei"/>
        <family val="2"/>
      </rPr>
      <t xml:space="preserve">인건비 외 사용처 </t>
    </r>
    <r>
      <rPr>
        <b val="true"/>
        <sz val="10"/>
        <color rgb="FFFFFFFF"/>
        <rFont val="Arial"/>
        <family val="0"/>
        <charset val="1"/>
      </rPr>
      <t xml:space="preserve">(Spec 33 </t>
    </r>
    <r>
      <rPr>
        <b val="true"/>
        <sz val="10"/>
        <color rgb="FFFFFFFF"/>
        <rFont val="WenQuanYi Zen Hei"/>
        <family val="2"/>
      </rPr>
      <t xml:space="preserve">항목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</si>
  <si>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TIPS </t>
    </r>
    <r>
      <rPr>
        <b val="true"/>
        <sz val="10"/>
        <color rgb="FFFFFFFF"/>
        <rFont val="WenQuanYi Zen Hei"/>
        <family val="2"/>
      </rPr>
      <t xml:space="preserve">비율 </t>
    </r>
    <r>
      <rPr>
        <b val="true"/>
        <sz val="10"/>
        <color rgb="FFFFFFFF"/>
        <rFont val="Arial"/>
        <family val="0"/>
        <charset val="1"/>
      </rPr>
      <t xml:space="preserve">Y1</t>
    </r>
  </si>
  <si>
    <r>
      <rPr>
        <b val="true"/>
        <sz val="10"/>
        <color rgb="FFFFFFFF"/>
        <rFont val="Arial"/>
        <family val="0"/>
        <charset val="1"/>
      </rPr>
      <t xml:space="preserve">TIPS </t>
    </r>
    <r>
      <rPr>
        <b val="true"/>
        <sz val="10"/>
        <color rgb="FFFFFFFF"/>
        <rFont val="WenQuanYi Zen Hei"/>
        <family val="2"/>
      </rPr>
      <t xml:space="preserve">비율 </t>
    </r>
    <r>
      <rPr>
        <b val="true"/>
        <sz val="10"/>
        <color rgb="FFFFFFFF"/>
        <rFont val="Arial"/>
        <family val="0"/>
        <charset val="1"/>
      </rPr>
      <t xml:space="preserve">Y2</t>
    </r>
  </si>
  <si>
    <r>
      <rPr>
        <b val="true"/>
        <sz val="10"/>
        <color rgb="FFFFFFFF"/>
        <rFont val="Arial"/>
        <family val="0"/>
        <charset val="1"/>
      </rPr>
      <t xml:space="preserve">TIPS </t>
    </r>
    <r>
      <rPr>
        <b val="true"/>
        <sz val="10"/>
        <color rgb="FFFFFFFF"/>
        <rFont val="WenQuanYi Zen Hei"/>
        <family val="2"/>
      </rPr>
      <t xml:space="preserve">편성 </t>
    </r>
    <r>
      <rPr>
        <b val="true"/>
        <sz val="10"/>
        <color rgb="FFFFFFFF"/>
        <rFont val="Arial"/>
        <family val="0"/>
        <charset val="1"/>
      </rPr>
      <t xml:space="preserve">Y1</t>
    </r>
  </si>
  <si>
    <r>
      <rPr>
        <b val="true"/>
        <sz val="10"/>
        <color rgb="FFFFFFFF"/>
        <rFont val="Arial"/>
        <family val="0"/>
        <charset val="1"/>
      </rPr>
      <t xml:space="preserve">TIPS </t>
    </r>
    <r>
      <rPr>
        <b val="true"/>
        <sz val="10"/>
        <color rgb="FFFFFFFF"/>
        <rFont val="WenQuanYi Zen Hei"/>
        <family val="2"/>
      </rPr>
      <t xml:space="preserve">편성 </t>
    </r>
    <r>
      <rPr>
        <b val="true"/>
        <sz val="10"/>
        <color rgb="FFFFFFFF"/>
        <rFont val="Arial"/>
        <family val="0"/>
        <charset val="1"/>
      </rPr>
      <t xml:space="preserve">Y2</t>
    </r>
  </si>
  <si>
    <r>
      <rPr>
        <b val="true"/>
        <sz val="10"/>
        <color rgb="FFFFFFFF"/>
        <rFont val="Arial"/>
        <family val="0"/>
        <charset val="1"/>
      </rPr>
      <t xml:space="preserve">TIPS </t>
    </r>
    <r>
      <rPr>
        <b val="true"/>
        <sz val="10"/>
        <color rgb="FFFFFFFF"/>
        <rFont val="WenQuanYi Zen Hei"/>
        <family val="2"/>
      </rPr>
      <t xml:space="preserve">비목</t>
    </r>
  </si>
  <si>
    <r>
      <rPr>
        <sz val="10"/>
        <color rgb="FF000000"/>
        <rFont val="Arial"/>
        <family val="0"/>
        <charset val="1"/>
      </rPr>
      <t xml:space="preserve">Robot Hardware — R&amp;D </t>
    </r>
    <r>
      <rPr>
        <sz val="10"/>
        <color rgb="FF000000"/>
        <rFont val="WenQuanYi Zen Hei"/>
        <family val="2"/>
      </rPr>
      <t xml:space="preserve">로봇 셀 </t>
    </r>
    <r>
      <rPr>
        <sz val="10"/>
        <color rgb="FF000000"/>
        <rFont val="Arial"/>
        <family val="0"/>
        <charset val="1"/>
      </rPr>
      <t xml:space="preserve">(Arm · Vision · Compute) Y1 3</t>
    </r>
    <r>
      <rPr>
        <sz val="10"/>
        <color rgb="FF000000"/>
        <rFont val="WenQuanYi Zen Hei"/>
        <family val="2"/>
      </rPr>
      <t xml:space="preserve">식 </t>
    </r>
    <r>
      <rPr>
        <sz val="10"/>
        <color rgb="FF000000"/>
        <rFont val="Arial"/>
        <family val="0"/>
        <charset val="1"/>
      </rPr>
      <t xml:space="preserve">+ Y2 1</t>
    </r>
    <r>
      <rPr>
        <sz val="10"/>
        <color rgb="FF000000"/>
        <rFont val="WenQuanYi Zen Hei"/>
        <family val="2"/>
      </rPr>
      <t xml:space="preserve">식</t>
    </r>
  </si>
  <si>
    <t xml:space="preserve">연구재료비</t>
  </si>
  <si>
    <r>
      <rPr>
        <sz val="10"/>
        <color rgb="FF000000"/>
        <rFont val="Arial"/>
        <family val="0"/>
        <charset val="1"/>
      </rPr>
      <t xml:space="preserve">Hand Prototype — </t>
    </r>
    <r>
      <rPr>
        <sz val="10"/>
        <color rgb="FF000000"/>
        <rFont val="WenQuanYi Zen Hei"/>
        <family val="2"/>
      </rPr>
      <t xml:space="preserve">상용 </t>
    </r>
    <r>
      <rPr>
        <sz val="10"/>
        <color rgb="FF000000"/>
        <rFont val="Arial"/>
        <family val="0"/>
        <charset val="1"/>
      </rPr>
      <t xml:space="preserve">Gripper </t>
    </r>
    <r>
      <rPr>
        <sz val="10"/>
        <color rgb="FF000000"/>
        <rFont val="WenQuanYi Zen Hei"/>
        <family val="2"/>
      </rPr>
      <t xml:space="preserve">비교군 구매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자체 </t>
    </r>
    <r>
      <rPr>
        <sz val="10"/>
        <color rgb="FF000000"/>
        <rFont val="Arial"/>
        <family val="0"/>
        <charset val="1"/>
      </rPr>
      <t xml:space="preserve">Hand v1~v3 </t>
    </r>
    <r>
      <rPr>
        <sz val="10"/>
        <color rgb="FF000000"/>
        <rFont val="WenQuanYi Zen Hei"/>
        <family val="2"/>
      </rPr>
      <t xml:space="preserve">가공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센서 </t>
    </r>
    <r>
      <rPr>
        <sz val="10"/>
        <color rgb="FF000000"/>
        <rFont val="Arial"/>
        <family val="0"/>
        <charset val="1"/>
      </rPr>
      <t xml:space="preserve">· Pad </t>
    </r>
    <r>
      <rPr>
        <sz val="10"/>
        <color rgb="FF000000"/>
        <rFont val="WenQuanYi Zen Hei"/>
        <family val="2"/>
      </rPr>
      <t xml:space="preserve">금형</t>
    </r>
  </si>
  <si>
    <r>
      <rPr>
        <sz val="10"/>
        <color rgb="FF000000"/>
        <rFont val="Arial"/>
        <family val="0"/>
        <charset val="1"/>
      </rPr>
      <t xml:space="preserve">Kitchen Mock-up — </t>
    </r>
    <r>
      <rPr>
        <sz val="10"/>
        <color rgb="FF000000"/>
        <rFont val="WenQuanYi Zen Hei"/>
        <family val="2"/>
      </rPr>
      <t xml:space="preserve">실물 크기 목업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종 </t>
    </r>
    <r>
      <rPr>
        <sz val="10"/>
        <color rgb="FF000000"/>
        <rFont val="Arial"/>
        <family val="0"/>
        <charset val="1"/>
      </rPr>
      <t xml:space="preserve">(Remodeling · </t>
    </r>
    <r>
      <rPr>
        <sz val="10"/>
        <color rgb="FF000000"/>
        <rFont val="WenQuanYi Zen Hei"/>
        <family val="2"/>
      </rPr>
      <t xml:space="preserve">ㄱ자 </t>
    </r>
    <r>
      <rPr>
        <sz val="10"/>
        <color rgb="FF000000"/>
        <rFont val="Arial"/>
        <family val="0"/>
        <charset val="1"/>
      </rPr>
      <t xml:space="preserve">· Retrofit) · </t>
    </r>
    <r>
      <rPr>
        <sz val="10"/>
        <color rgb="FF000000"/>
        <rFont val="WenQuanYi Zen Hei"/>
        <family val="2"/>
      </rPr>
      <t xml:space="preserve">식기세척기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모델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재구성</t>
    </r>
  </si>
  <si>
    <t xml:space="preserve">Software · Data — GPU · Cloud · Annotation · SW License</t>
  </si>
  <si>
    <t xml:space="preserve">연구활동비</t>
  </si>
  <si>
    <r>
      <rPr>
        <sz val="10"/>
        <color rgb="FF000000"/>
        <rFont val="Arial"/>
        <family val="0"/>
        <charset val="1"/>
      </rPr>
      <t xml:space="preserve">Pilot — </t>
    </r>
    <r>
      <rPr>
        <sz val="10"/>
        <color rgb="FF000000"/>
        <rFont val="WenQuanYi Zen Hei"/>
        <family val="2"/>
      </rPr>
      <t xml:space="preserve">가정 실증 운영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설치 파트너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보험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모니터링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실증 하드웨어는 원가로 별도</t>
    </r>
  </si>
  <si>
    <t xml:space="preserve">-</t>
  </si>
  <si>
    <r>
      <rPr>
        <sz val="10"/>
        <color rgb="FF000000"/>
        <rFont val="Arial"/>
        <family val="0"/>
        <charset val="1"/>
      </rPr>
      <t xml:space="preserve">Customer · Partner — </t>
    </r>
    <r>
      <rPr>
        <sz val="10"/>
        <color rgb="FF000000"/>
        <rFont val="WenQuanYi Zen Hei"/>
        <family val="2"/>
      </rPr>
      <t xml:space="preserve">고객 인터뷰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정리 시간 기록 </t>
    </r>
    <r>
      <rPr>
        <sz val="10"/>
        <color rgb="FF000000"/>
        <rFont val="Arial"/>
        <family val="0"/>
        <charset val="1"/>
      </rPr>
      <t xml:space="preserve">· WTP </t>
    </r>
    <r>
      <rPr>
        <sz val="10"/>
        <color rgb="FF000000"/>
        <rFont val="WenQuanYi Zen Hei"/>
        <family val="2"/>
      </rPr>
      <t xml:space="preserve">조사 </t>
    </r>
    <r>
      <rPr>
        <sz val="10"/>
        <color rgb="FF000000"/>
        <rFont val="Arial"/>
        <family val="0"/>
        <charset val="1"/>
      </rPr>
      <t xml:space="preserve">(n≥300) · </t>
    </r>
    <r>
      <rPr>
        <sz val="10"/>
        <color rgb="FF000000"/>
        <rFont val="WenQuanYi Zen Hei"/>
        <family val="2"/>
      </rPr>
      <t xml:space="preserve">예약금 </t>
    </r>
    <r>
      <rPr>
        <sz val="10"/>
        <color rgb="FF000000"/>
        <rFont val="Arial"/>
        <family val="0"/>
        <charset val="1"/>
      </rPr>
      <t xml:space="preserve">Test · </t>
    </r>
    <r>
      <rPr>
        <sz val="10"/>
        <color rgb="FF000000"/>
        <rFont val="WenQuanYi Zen Hei"/>
        <family val="2"/>
      </rPr>
      <t xml:space="preserve">파트너 개발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전시</t>
    </r>
  </si>
  <si>
    <r>
      <rPr>
        <sz val="10"/>
        <color rgb="FF000000"/>
        <rFont val="Arial"/>
        <family val="0"/>
        <charset val="1"/>
      </rPr>
      <t xml:space="preserve">Certification — </t>
    </r>
    <r>
      <rPr>
        <sz val="10"/>
        <color rgb="FF000000"/>
        <rFont val="WenQuanYi Zen Hei"/>
        <family val="2"/>
      </rPr>
      <t xml:space="preserve">안전 </t>
    </r>
    <r>
      <rPr>
        <sz val="10"/>
        <color rgb="FF000000"/>
        <rFont val="Arial"/>
        <family val="0"/>
        <charset val="1"/>
      </rPr>
      <t xml:space="preserve">Gap </t>
    </r>
    <r>
      <rPr>
        <sz val="10"/>
        <color rgb="FF000000"/>
        <rFont val="WenQuanYi Zen Hei"/>
        <family val="2"/>
      </rPr>
      <t xml:space="preserve">분석 </t>
    </r>
    <r>
      <rPr>
        <sz val="10"/>
        <color rgb="FF000000"/>
        <rFont val="Arial"/>
        <family val="0"/>
        <charset val="1"/>
      </rPr>
      <t xml:space="preserve">(IEC 63682 </t>
    </r>
    <r>
      <rPr>
        <sz val="10"/>
        <color rgb="FF000000"/>
        <rFont val="WenQuanYi Zen Hei"/>
        <family val="2"/>
      </rPr>
      <t xml:space="preserve">초안 </t>
    </r>
    <r>
      <rPr>
        <sz val="10"/>
        <color rgb="FF000000"/>
        <rFont val="Arial"/>
        <family val="0"/>
        <charset val="1"/>
      </rPr>
      <t xml:space="preserve">· ISO 13482) · EMC/</t>
    </r>
    <r>
      <rPr>
        <sz val="10"/>
        <color rgb="FF000000"/>
        <rFont val="WenQuanYi Zen Hei"/>
        <family val="2"/>
      </rPr>
      <t xml:space="preserve">전기안전 사전시험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식품접촉 소재 시험</t>
    </r>
  </si>
  <si>
    <r>
      <rPr>
        <sz val="10"/>
        <color rgb="FF000000"/>
        <rFont val="Arial"/>
        <family val="0"/>
        <charset val="1"/>
      </rPr>
      <t xml:space="preserve">IP — </t>
    </r>
    <r>
      <rPr>
        <sz val="10"/>
        <color rgb="FF000000"/>
        <rFont val="WenQuanYi Zen Hei"/>
        <family val="2"/>
      </rPr>
      <t xml:space="preserve">선행기술조사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국내 출원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건 </t>
    </r>
    <r>
      <rPr>
        <sz val="10"/>
        <color rgb="FF000000"/>
        <rFont val="Arial"/>
        <family val="0"/>
        <charset val="1"/>
      </rPr>
      <t xml:space="preserve">· PCT 1</t>
    </r>
    <r>
      <rPr>
        <sz val="10"/>
        <color rgb="FF000000"/>
        <rFont val="WenQuanYi Zen Hei"/>
        <family val="2"/>
      </rPr>
      <t xml:space="preserve">건</t>
    </r>
  </si>
  <si>
    <r>
      <rPr>
        <sz val="10"/>
        <color rgb="FF000000"/>
        <rFont val="Arial"/>
        <family val="0"/>
        <charset val="1"/>
      </rPr>
      <t xml:space="preserve">Space — </t>
    </r>
    <r>
      <rPr>
        <sz val="10"/>
        <color rgb="FF000000"/>
        <rFont val="WenQuanYi Zen Hei"/>
        <family val="2"/>
      </rPr>
      <t xml:space="preserve">실험실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목업 공간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평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임차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관리</t>
    </r>
  </si>
  <si>
    <t xml:space="preserve">간접비 일부</t>
  </si>
  <si>
    <r>
      <rPr>
        <sz val="10"/>
        <color rgb="FF000000"/>
        <rFont val="Arial"/>
        <family val="0"/>
        <charset val="1"/>
      </rPr>
      <t xml:space="preserve">Operating — </t>
    </r>
    <r>
      <rPr>
        <sz val="10"/>
        <color rgb="FF000000"/>
        <rFont val="WenQuanYi Zen Hei"/>
        <family val="2"/>
      </rPr>
      <t xml:space="preserve">법무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회계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보험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사무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출장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채용</t>
    </r>
  </si>
  <si>
    <t xml:space="preserve">인건비 외 합계</t>
  </si>
  <si>
    <r>
      <rPr>
        <sz val="10"/>
        <color rgb="FF000000"/>
        <rFont val="WenQuanYi Zen Hei"/>
        <family val="2"/>
      </rPr>
      <t xml:space="preserve">예비비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인건비 외 </t>
    </r>
    <r>
      <rPr>
        <sz val="10"/>
        <color rgb="FF000000"/>
        <rFont val="Arial"/>
        <family val="0"/>
        <charset val="1"/>
      </rPr>
      <t xml:space="preserve">× 10%)</t>
    </r>
  </si>
  <si>
    <r>
      <rPr>
        <sz val="10"/>
        <color rgb="FF000000"/>
        <rFont val="WenQuanYi Zen Hei"/>
        <family val="2"/>
      </rPr>
      <t xml:space="preserve">연구수당 </t>
    </r>
    <r>
      <rPr>
        <sz val="10"/>
        <color rgb="FF000000"/>
        <rFont val="Arial"/>
        <family val="0"/>
        <charset val="1"/>
      </rPr>
      <t xml:space="preserve">(TIPS </t>
    </r>
    <r>
      <rPr>
        <sz val="10"/>
        <color rgb="FF000000"/>
        <rFont val="WenQuanYi Zen Hei"/>
        <family val="2"/>
      </rPr>
      <t xml:space="preserve">현금 인건비 </t>
    </r>
    <r>
      <rPr>
        <sz val="10"/>
        <color rgb="FF000000"/>
        <rFont val="Arial"/>
        <family val="0"/>
        <charset val="1"/>
      </rPr>
      <t xml:space="preserve">× 5%)</t>
    </r>
  </si>
  <si>
    <r>
      <rPr>
        <sz val="10"/>
        <color rgb="FF000000"/>
        <rFont val="WenQuanYi Zen Hei"/>
        <family val="2"/>
      </rPr>
      <t xml:space="preserve">검증</t>
    </r>
    <r>
      <rPr>
        <sz val="10"/>
        <color rgb="FF000000"/>
        <rFont val="Arial"/>
        <family val="0"/>
        <charset val="1"/>
      </rPr>
      <t xml:space="preserve">: FM_Base </t>
    </r>
    <r>
      <rPr>
        <sz val="10"/>
        <color rgb="FF000000"/>
        <rFont val="WenQuanYi Zen Hei"/>
        <family val="2"/>
      </rPr>
      <t xml:space="preserve">기타 운영비 −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인건비 외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예비비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연구수당</t>
    </r>
    <r>
      <rPr>
        <sz val="10"/>
        <color rgb="FF000000"/>
        <rFont val="Arial"/>
        <family val="0"/>
        <charset val="1"/>
      </rPr>
      <t xml:space="preserve">) (0</t>
    </r>
    <r>
      <rPr>
        <sz val="10"/>
        <color rgb="FF000000"/>
        <rFont val="WenQuanYi Zen Hei"/>
        <family val="2"/>
      </rPr>
      <t xml:space="preserve">이어야 함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</si>
  <si>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C. TIPS </t>
    </r>
    <r>
      <rPr>
        <b val="true"/>
        <sz val="10"/>
        <color rgb="FFFFFFFF"/>
        <rFont val="WenQuanYi Zen Hei"/>
        <family val="2"/>
      </rPr>
      <t xml:space="preserve">과제 편성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비목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</si>
  <si>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차년도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</si>
  <si>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차년도</t>
    </r>
  </si>
  <si>
    <t xml:space="preserve">근거</t>
  </si>
  <si>
    <r>
      <rPr>
        <sz val="10"/>
        <color rgb="FF000000"/>
        <rFont val="WenQuanYi Zen Hei"/>
        <family val="2"/>
      </rPr>
      <t xml:space="preserve">인건비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현금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</si>
  <si>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WenQuanYi Zen Hei"/>
        <family val="2"/>
      </rPr>
      <t xml:space="preserve">인원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참여율</t>
    </r>
  </si>
  <si>
    <r>
      <rPr>
        <sz val="10"/>
        <color rgb="FF000000"/>
        <rFont val="WenQuanYi Zen Hei"/>
        <family val="2"/>
      </rPr>
      <t xml:space="preserve">인건비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현물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</si>
  <si>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Founder 2</t>
    </r>
    <r>
      <rPr>
        <sz val="10"/>
        <color rgb="FF000000"/>
        <rFont val="WenQuanYi Zen Hei"/>
        <family val="2"/>
      </rPr>
      <t xml:space="preserve">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참여율</t>
    </r>
  </si>
  <si>
    <r>
      <rPr>
        <sz val="10"/>
        <color rgb="FF000000"/>
        <rFont val="Arial"/>
        <family val="0"/>
        <charset val="1"/>
      </rPr>
      <t xml:space="preserve">Robot HW · Hand · Mock-up × </t>
    </r>
    <r>
      <rPr>
        <sz val="10"/>
        <color rgb="FF000000"/>
        <rFont val="WenQuanYi Zen Hei"/>
        <family val="2"/>
      </rPr>
      <t xml:space="preserve">편성 비율</t>
    </r>
  </si>
  <si>
    <r>
      <rPr>
        <sz val="10"/>
        <color rgb="FF000000"/>
        <rFont val="Arial"/>
        <family val="0"/>
        <charset val="1"/>
      </rPr>
      <t xml:space="preserve">SW · Data · </t>
    </r>
    <r>
      <rPr>
        <sz val="10"/>
        <color rgb="FF000000"/>
        <rFont val="WenQuanYi Zen Hei"/>
        <family val="2"/>
      </rPr>
      <t xml:space="preserve">인증 사전시험 </t>
    </r>
    <r>
      <rPr>
        <sz val="10"/>
        <color rgb="FF000000"/>
        <rFont val="Arial"/>
        <family val="0"/>
        <charset val="1"/>
      </rPr>
      <t xml:space="preserve">· IP × </t>
    </r>
    <r>
      <rPr>
        <sz val="10"/>
        <color rgb="FF000000"/>
        <rFont val="WenQuanYi Zen Hei"/>
        <family val="2"/>
      </rPr>
      <t xml:space="preserve">편성 비율</t>
    </r>
  </si>
  <si>
    <t xml:space="preserve">연구수당</t>
  </si>
  <si>
    <r>
      <rPr>
        <sz val="10"/>
        <color rgb="FF000000"/>
        <rFont val="WenQuanYi Zen Hei"/>
        <family val="2"/>
      </rPr>
      <t xml:space="preserve">현금 인건비 </t>
    </r>
    <r>
      <rPr>
        <sz val="10"/>
        <color rgb="FF000000"/>
        <rFont val="Arial"/>
        <family val="0"/>
        <charset val="1"/>
      </rPr>
      <t xml:space="preserve">× 5%</t>
    </r>
  </si>
  <si>
    <t xml:space="preserve">직접비 합계</t>
  </si>
  <si>
    <r>
      <rPr>
        <sz val="10"/>
        <color rgb="FF000000"/>
        <rFont val="WenQuanYi Zen Hei"/>
        <family val="2"/>
      </rPr>
      <t xml:space="preserve">간접비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연차 총액 − 직접비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직접비 비례 배분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</si>
  <si>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TIPS </t>
    </r>
    <r>
      <rPr>
        <b val="true"/>
        <sz val="10"/>
        <rFont val="WenQuanYi Zen Hei"/>
        <family val="2"/>
      </rPr>
      <t xml:space="preserve">과제 총 연구개발비 </t>
    </r>
    <r>
      <rPr>
        <b val="true"/>
        <sz val="10"/>
        <rFont val="Arial"/>
        <family val="0"/>
        <charset val="1"/>
      </rPr>
      <t xml:space="preserve">(= </t>
    </r>
    <r>
      <rPr>
        <b val="true"/>
        <sz val="10"/>
        <rFont val="WenQuanYi Zen Hei"/>
        <family val="2"/>
      </rPr>
      <t xml:space="preserve">정부지원금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정부 비율 상한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</si>
  <si>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정부지원금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선정 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</si>
  <si>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FACT (2026 </t>
    </r>
    <r>
      <rPr>
        <sz val="10"/>
        <color rgb="FF000000"/>
        <rFont val="WenQuanYi Zen Hei"/>
        <family val="2"/>
      </rPr>
      <t xml:space="preserve">공고 최대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</si>
  <si>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기관부담 </t>
    </r>
    <r>
      <rPr>
        <sz val="10"/>
        <color rgb="FF000000"/>
        <rFont val="Arial"/>
        <family val="0"/>
        <charset val="1"/>
      </rPr>
      <t xml:space="preserve">(= </t>
    </r>
    <r>
      <rPr>
        <sz val="10"/>
        <color rgb="FF000000"/>
        <rFont val="WenQuanYi Zen Hei"/>
        <family val="2"/>
      </rPr>
      <t xml:space="preserve">총액 − 정부지원금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</si>
  <si>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기관부담 중 현물 </t>
    </r>
    <r>
      <rPr>
        <sz val="10"/>
        <color rgb="FF000000"/>
        <rFont val="Arial"/>
        <family val="0"/>
        <charset val="1"/>
      </rPr>
      <t xml:space="preserve">(Founder </t>
    </r>
    <r>
      <rPr>
        <sz val="10"/>
        <color rgb="FF000000"/>
        <rFont val="WenQuanYi Zen Hei"/>
        <family val="2"/>
      </rPr>
      <t xml:space="preserve">인건비</t>
    </r>
    <r>
      <rPr>
        <sz val="10"/>
        <color rgb="FF000000"/>
        <rFont val="Arial"/>
        <family val="0"/>
        <charset val="1"/>
      </rPr>
      <t xml:space="preserve">)</t>
    </r>
  </si>
  <si>
    <t xml:space="preserve">기관부담 중 현금</t>
  </si>
  <si>
    <r>
      <rPr>
        <sz val="10"/>
        <color rgb="FF000000"/>
        <rFont val="Arial"/>
        <family val="0"/>
        <charset val="1"/>
      </rPr>
      <t xml:space="preserve">Seed </t>
    </r>
    <r>
      <rPr>
        <sz val="10"/>
        <color rgb="FF000000"/>
        <rFont val="WenQuanYi Zen Hei"/>
        <family val="2"/>
      </rPr>
      <t xml:space="preserve">자금으로 부담</t>
    </r>
  </si>
  <si>
    <r>
      <rPr>
        <sz val="10"/>
        <color rgb="FF000000"/>
        <rFont val="WenQuanYi Zen Hei"/>
        <family val="2"/>
      </rPr>
      <t xml:space="preserve">현금 비율 하한 충족 </t>
    </r>
    <r>
      <rPr>
        <sz val="10"/>
        <color rgb="FF000000"/>
        <rFont val="Arial"/>
        <family val="0"/>
        <charset val="1"/>
      </rPr>
      <t xml:space="preserve">(1 = 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</si>
  <si>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기관부담 중 현금 ≥ </t>
    </r>
    <r>
      <rPr>
        <sz val="10"/>
        <color rgb="FF000000"/>
        <rFont val="Arial"/>
        <family val="0"/>
        <charset val="1"/>
      </rPr>
      <t xml:space="preserve">tips_cash_ratio</t>
    </r>
  </si>
  <si>
    <r>
      <rPr>
        <sz val="10"/>
        <color rgb="FF000000"/>
        <rFont val="WenQuanYi Zen Hei"/>
        <family val="2"/>
      </rPr>
      <t xml:space="preserve">간접비율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간접비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현금 직접비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</si>
  <si>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협약 기준 확인 필요 </t>
    </r>
    <r>
      <rPr>
        <sz val="10"/>
        <color rgb="FF000000"/>
        <rFont val="Arial"/>
        <family val="0"/>
        <charset val="1"/>
      </rPr>
      <t xml:space="preserve">(ASSUMPTION)</t>
    </r>
  </si>
  <si>
    <r>
      <rPr>
        <b val="true"/>
        <sz val="10"/>
        <color rgb="FFFFFFFF"/>
        <rFont val="Arial"/>
        <family val="0"/>
        <charset val="1"/>
      </rPr>
      <t xml:space="preserve">D. </t>
    </r>
    <r>
      <rPr>
        <b val="true"/>
        <sz val="10"/>
        <color rgb="FFFFFFFF"/>
        <rFont val="WenQuanYi Zen Hei"/>
        <family val="2"/>
      </rPr>
      <t xml:space="preserve">재원 </t>
    </r>
    <r>
      <rPr>
        <b val="true"/>
        <sz val="10"/>
        <color rgb="FFFFFFFF"/>
        <rFont val="Arial"/>
        <family val="0"/>
        <charset val="1"/>
      </rPr>
      <t xml:space="preserve">· Seed </t>
    </r>
    <r>
      <rPr>
        <b val="true"/>
        <sz val="10"/>
        <color rgb="FFFFFFFF"/>
        <rFont val="WenQuanYi Zen Hei"/>
        <family val="2"/>
      </rPr>
      <t xml:space="preserve">범위 </t>
    </r>
    <r>
      <rPr>
        <b val="true"/>
        <sz val="10"/>
        <color rgb="FFFFFFFF"/>
        <rFont val="Arial"/>
        <family val="0"/>
        <charset val="1"/>
      </rPr>
      <t xml:space="preserve">(24</t>
    </r>
    <r>
      <rPr>
        <b val="true"/>
        <sz val="10"/>
        <color rgb="FFFFFFFF"/>
        <rFont val="WenQuanYi Zen Hei"/>
        <family val="2"/>
      </rPr>
      <t xml:space="preserve">개월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</si>
  <si>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</si>
  <si>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r>
      <rPr>
        <b val="true"/>
        <sz val="10"/>
        <rFont val="WenQuanYi Zen Hei"/>
        <family val="2"/>
      </rPr>
      <t xml:space="preserve">회사 전체 지출 </t>
    </r>
    <r>
      <rPr>
        <b val="true"/>
        <sz val="10"/>
        <rFont val="Arial"/>
        <family val="0"/>
        <charset val="1"/>
      </rPr>
      <t xml:space="preserve">(= −FM_Base </t>
    </r>
    <r>
      <rPr>
        <b val="true"/>
        <sz val="10"/>
        <rFont val="WenQuanYi Zen Hei"/>
        <family val="2"/>
      </rPr>
      <t xml:space="preserve">현금흐름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</si>
  <si>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  그중 실증 순비용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지출 − </t>
    </r>
    <r>
      <rPr>
        <sz val="10"/>
        <color rgb="FF000000"/>
        <rFont val="Arial"/>
        <family val="0"/>
        <charset val="1"/>
      </rPr>
      <t xml:space="preserve">Opex)</t>
    </r>
  </si>
  <si>
    <r>
      <rPr>
        <sz val="10"/>
        <color rgb="FF000000"/>
        <rFont val="Arial"/>
        <family val="0"/>
        <charset val="1"/>
      </rPr>
      <t xml:space="preserve">TIPS </t>
    </r>
    <r>
      <rPr>
        <sz val="10"/>
        <color rgb="FF000000"/>
        <rFont val="WenQuanYi Zen Hei"/>
        <family val="2"/>
      </rPr>
      <t xml:space="preserve">정부지원금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선정 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연차 배분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</si>
  <si>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Buffer (Y2 </t>
    </r>
    <r>
      <rPr>
        <sz val="10"/>
        <color rgb="FF000000"/>
        <rFont val="WenQuanYi Zen Hei"/>
        <family val="2"/>
      </rPr>
      <t xml:space="preserve">월평균 지출 </t>
    </r>
    <r>
      <rPr>
        <sz val="10"/>
        <color rgb="FF000000"/>
        <rFont val="Arial"/>
        <family val="0"/>
        <charset val="1"/>
      </rPr>
      <t xml:space="preserve">× 3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, Series A </t>
    </r>
    <r>
      <rPr>
        <sz val="10"/>
        <color rgb="FF000000"/>
        <rFont val="WenQuanYi Zen Hei"/>
        <family val="2"/>
      </rPr>
      <t xml:space="preserve">협상 기간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</si>
  <si>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Seed </t>
    </r>
    <r>
      <rPr>
        <b val="true"/>
        <sz val="10"/>
        <rFont val="WenQuanYi Zen Hei"/>
        <family val="2"/>
      </rPr>
      <t xml:space="preserve">필요액 — </t>
    </r>
    <r>
      <rPr>
        <b val="true"/>
        <sz val="10"/>
        <rFont val="Arial"/>
        <family val="0"/>
        <charset val="1"/>
      </rPr>
      <t xml:space="preserve">Base (</t>
    </r>
    <r>
      <rPr>
        <b val="true"/>
        <sz val="10"/>
        <rFont val="WenQuanYi Zen Hei"/>
        <family val="2"/>
      </rPr>
      <t xml:space="preserve">지출 − 정부지원금 </t>
    </r>
    <r>
      <rPr>
        <b val="true"/>
        <sz val="10"/>
        <rFont val="Arial"/>
        <family val="0"/>
        <charset val="1"/>
      </rPr>
      <t xml:space="preserve">+ Buffer)</t>
    </r>
  </si>
  <si>
    <r>
      <rPr>
        <sz val="10"/>
        <color rgb="FF000000"/>
        <rFont val="Arial"/>
        <family val="0"/>
        <charset val="1"/>
      </rPr>
      <t xml:space="preserve">Seed </t>
    </r>
    <r>
      <rPr>
        <sz val="10"/>
        <color rgb="FF000000"/>
        <rFont val="WenQuanYi Zen Hei"/>
        <family val="2"/>
      </rPr>
      <t xml:space="preserve">필요액 — </t>
    </r>
    <r>
      <rPr>
        <sz val="10"/>
        <color rgb="FF000000"/>
        <rFont val="Arial"/>
        <family val="0"/>
        <charset val="1"/>
      </rPr>
      <t xml:space="preserve">Lean (</t>
    </r>
    <r>
      <rPr>
        <sz val="10"/>
        <color rgb="FF000000"/>
        <rFont val="WenQuanYi Zen Hei"/>
        <family val="2"/>
      </rPr>
      <t xml:space="preserve">팀 축소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목업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실증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인증 축소</t>
    </r>
    <r>
      <rPr>
        <sz val="10"/>
        <color rgb="FF000000"/>
        <rFont val="Arial"/>
        <family val="0"/>
        <charset val="1"/>
      </rPr>
      <t xml:space="preserve">) — STATIC</t>
    </r>
  </si>
  <si>
    <t xml:space="preserve">model.py budget24('lean')</t>
  </si>
  <si>
    <r>
      <rPr>
        <sz val="10"/>
        <color rgb="FF000000"/>
        <rFont val="Arial"/>
        <family val="0"/>
        <charset val="1"/>
      </rPr>
      <t xml:space="preserve">Seed </t>
    </r>
    <r>
      <rPr>
        <sz val="10"/>
        <color rgb="FF000000"/>
        <rFont val="WenQuanYi Zen Hei"/>
        <family val="2"/>
      </rPr>
      <t xml:space="preserve">필요액 — </t>
    </r>
    <r>
      <rPr>
        <sz val="10"/>
        <color rgb="FF000000"/>
        <rFont val="Arial"/>
        <family val="0"/>
        <charset val="1"/>
      </rPr>
      <t xml:space="preserve">TIPS </t>
    </r>
    <r>
      <rPr>
        <sz val="10"/>
        <color rgb="FF000000"/>
        <rFont val="WenQuanYi Zen Hei"/>
        <family val="2"/>
      </rPr>
      <t xml:space="preserve">미선정 시 </t>
    </r>
    <r>
      <rPr>
        <sz val="10"/>
        <color rgb="FF000000"/>
        <rFont val="Arial"/>
        <family val="0"/>
        <charset val="1"/>
      </rPr>
      <t xml:space="preserve">Lean </t>
    </r>
    <r>
      <rPr>
        <sz val="10"/>
        <color rgb="FF000000"/>
        <rFont val="WenQuanYi Zen Hei"/>
        <family val="2"/>
      </rPr>
      <t xml:space="preserve">범위 단독 — </t>
    </r>
    <r>
      <rPr>
        <sz val="10"/>
        <color rgb="FF000000"/>
        <rFont val="Arial"/>
        <family val="0"/>
        <charset val="1"/>
      </rPr>
      <t xml:space="preserve">STATIC</t>
    </r>
  </si>
  <si>
    <r>
      <rPr>
        <sz val="10"/>
        <color rgb="FF000000"/>
        <rFont val="WenQuanYi Zen Hei"/>
        <family val="2"/>
      </rPr>
      <t xml:space="preserve">연구수당 제외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정부지원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</si>
  <si>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TIPS </t>
    </r>
    <r>
      <rPr>
        <sz val="10"/>
        <color rgb="FF000000"/>
        <rFont val="WenQuanYi Zen Hei"/>
        <family val="2"/>
      </rPr>
      <t xml:space="preserve">운영사 선투자 요건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수도권</t>
    </r>
    <r>
      <rPr>
        <sz val="10"/>
        <color rgb="FF000000"/>
        <rFont val="Arial"/>
        <family val="0"/>
        <charset val="1"/>
      </rPr>
      <t xml:space="preserve">, FACT)</t>
    </r>
  </si>
  <si>
    <r>
      <rPr>
        <sz val="10"/>
        <color rgb="FF000000"/>
        <rFont val="Arial"/>
        <family val="0"/>
        <charset val="1"/>
      </rPr>
      <t xml:space="preserve">Seed </t>
    </r>
    <r>
      <rPr>
        <sz val="10"/>
        <color rgb="FF000000"/>
        <rFont val="WenQuanYi Zen Hei"/>
        <family val="2"/>
      </rPr>
      <t xml:space="preserve">라운드의 일부로 충족</t>
    </r>
  </si>
  <si>
    <r>
      <rPr>
        <b val="true"/>
        <sz val="14"/>
        <rFont val="Arial"/>
        <family val="0"/>
        <charset val="1"/>
      </rPr>
      <t xml:space="preserve">FACT Sources (</t>
    </r>
    <r>
      <rPr>
        <b val="true"/>
        <sz val="14"/>
        <rFont val="WenQuanYi Zen Hei"/>
        <family val="2"/>
      </rPr>
      <t xml:space="preserve">조회일 </t>
    </r>
    <r>
      <rPr>
        <b val="true"/>
        <sz val="14"/>
        <rFont val="Arial"/>
        <family val="0"/>
        <charset val="1"/>
      </rPr>
      <t xml:space="preserve">2026-10-07~08, </t>
    </r>
    <r>
      <rPr>
        <b val="true"/>
        <sz val="14"/>
        <rFont val="WenQuanYi Zen Hei"/>
        <family val="2"/>
      </rPr>
      <t xml:space="preserve">검색 결과 기준 — 외부 제출 전 원문 재확인 필요</t>
    </r>
    <r>
      <rPr>
        <b val="true"/>
        <sz val="14"/>
        <rFont val="Arial"/>
        <family val="0"/>
        <charset val="1"/>
      </rPr>
      <t xml:space="preserve">)</t>
    </r>
  </si>
  <si>
    <t xml:space="preserve">기준</t>
  </si>
  <si>
    <t xml:space="preserve">Source</t>
  </si>
  <si>
    <r>
      <rPr>
        <sz val="10"/>
        <color rgb="FF000000"/>
        <rFont val="WenQuanYi Zen Hei"/>
        <family val="2"/>
      </rPr>
      <t xml:space="preserve">총주택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아파트 비중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준공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·30</t>
    </r>
    <r>
      <rPr>
        <sz val="10"/>
        <color rgb="FF000000"/>
        <rFont val="WenQuanYi Zen Hei"/>
        <family val="2"/>
      </rPr>
      <t xml:space="preserve">년 이상 비중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미거주 주택</t>
    </r>
  </si>
  <si>
    <r>
      <rPr>
        <sz val="10"/>
        <color rgb="FF000000"/>
        <rFont val="Arial"/>
        <family val="0"/>
        <charset val="1"/>
      </rPr>
      <t xml:space="preserve">2,018.1</t>
    </r>
    <r>
      <rPr>
        <sz val="10"/>
        <color rgb="FF000000"/>
        <rFont val="WenQuanYi Zen Hei"/>
        <family val="2"/>
      </rPr>
      <t xml:space="preserve">만호 </t>
    </r>
    <r>
      <rPr>
        <sz val="10"/>
        <color rgb="FF000000"/>
        <rFont val="Arial"/>
        <family val="0"/>
        <charset val="1"/>
      </rPr>
      <t xml:space="preserve">/ 65.8% / 56.0%·30.6% / 172.2</t>
    </r>
    <r>
      <rPr>
        <sz val="10"/>
        <color rgb="FF000000"/>
        <rFont val="WenQuanYi Zen Hei"/>
        <family val="2"/>
      </rPr>
      <t xml:space="preserve">만호</t>
    </r>
  </si>
  <si>
    <r>
      <rPr>
        <sz val="10"/>
        <color rgb="FF000000"/>
        <rFont val="Arial"/>
        <family val="0"/>
        <charset val="1"/>
      </rPr>
      <t xml:space="preserve">2025.11.1 </t>
    </r>
    <r>
      <rPr>
        <sz val="10"/>
        <color rgb="FF000000"/>
        <rFont val="WenQuanYi Zen Hei"/>
        <family val="2"/>
      </rPr>
      <t xml:space="preserve">기준</t>
    </r>
  </si>
  <si>
    <r>
      <rPr>
        <sz val="10"/>
        <color rgb="FF000000"/>
        <rFont val="WenQuanYi Zen Hei"/>
        <family val="2"/>
      </rPr>
      <t xml:space="preserve">국가데이터처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WenQuanYi Zen Hei"/>
        <family val="2"/>
      </rPr>
      <t xml:space="preserve">인구주택총조사 결과 </t>
    </r>
    <r>
      <rPr>
        <sz val="10"/>
        <color rgb="FF000000"/>
        <rFont val="Arial"/>
        <family val="0"/>
        <charset val="1"/>
      </rPr>
      <t xml:space="preserve">(2026.7.28 </t>
    </r>
    <r>
      <rPr>
        <sz val="10"/>
        <color rgb="FF000000"/>
        <rFont val="WenQuanYi Zen Hei"/>
        <family val="2"/>
      </rPr>
      <t xml:space="preserve">발표</t>
    </r>
    <r>
      <rPr>
        <sz val="10"/>
        <color rgb="FF000000"/>
        <rFont val="Arial"/>
        <family val="0"/>
        <charset val="1"/>
      </rPr>
      <t xml:space="preserve">) — </t>
    </r>
    <r>
      <rPr>
        <sz val="10"/>
        <color rgb="FF000000"/>
        <rFont val="WenQuanYi Zen Hei"/>
        <family val="2"/>
      </rPr>
      <t xml:space="preserve">보도</t>
    </r>
    <r>
      <rPr>
        <sz val="10"/>
        <color rgb="FF000000"/>
        <rFont val="Arial"/>
        <family val="0"/>
        <charset val="1"/>
      </rPr>
      <t xml:space="preserve">: https://www.newsis.com/view/NISX20260728_0003726109 , https://www.fnnews.com/news/202607281048203456</t>
    </r>
  </si>
  <si>
    <r>
      <rPr>
        <sz val="10"/>
        <color rgb="FF000000"/>
        <rFont val="WenQuanYi Zen Hei"/>
        <family val="2"/>
      </rPr>
      <t xml:space="preserve">아파트 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준공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 이상 아파트 </t>
    </r>
    <r>
      <rPr>
        <sz val="10"/>
        <color rgb="FF000000"/>
        <rFont val="Arial"/>
        <family val="0"/>
        <charset val="1"/>
      </rPr>
      <t xml:space="preserve">(2023)</t>
    </r>
  </si>
  <si>
    <r>
      <rPr>
        <sz val="10"/>
        <color rgb="FF000000"/>
        <rFont val="Arial"/>
        <family val="0"/>
        <charset val="1"/>
      </rPr>
      <t xml:space="preserve">1,263</t>
    </r>
    <r>
      <rPr>
        <sz val="10"/>
        <color rgb="FF000000"/>
        <rFont val="WenQuanYi Zen Hei"/>
        <family val="2"/>
      </rPr>
      <t xml:space="preserve">만호 </t>
    </r>
    <r>
      <rPr>
        <sz val="10"/>
        <color rgb="FF000000"/>
        <rFont val="Arial"/>
        <family val="0"/>
        <charset val="1"/>
      </rPr>
      <t xml:space="preserve">/ 639</t>
    </r>
    <r>
      <rPr>
        <sz val="10"/>
        <color rgb="FF000000"/>
        <rFont val="WenQuanYi Zen Hei"/>
        <family val="2"/>
      </rPr>
      <t xml:space="preserve">만호 </t>
    </r>
    <r>
      <rPr>
        <sz val="10"/>
        <color rgb="FF000000"/>
        <rFont val="Arial"/>
        <family val="0"/>
        <charset val="1"/>
      </rPr>
      <t xml:space="preserve">(50.7%)</t>
    </r>
  </si>
  <si>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WenQuanYi Zen Hei"/>
        <family val="2"/>
      </rPr>
      <t xml:space="preserve">주택총조사</t>
    </r>
  </si>
  <si>
    <r>
      <rPr>
        <sz val="10"/>
        <color rgb="FF000000"/>
        <rFont val="WenQuanYi Zen Hei"/>
        <family val="2"/>
      </rPr>
      <t xml:space="preserve">통계청 주택총조사 인용 보도</t>
    </r>
    <r>
      <rPr>
        <sz val="10"/>
        <color rgb="FF000000"/>
        <rFont val="Arial"/>
        <family val="0"/>
        <charset val="1"/>
      </rPr>
      <t xml:space="preserve">: https://www.smarttoday.co.kr/ko-kr/articles/49322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</si>
  <si>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주택 준공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인허가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착공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공동주택 분양</t>
    </r>
  </si>
  <si>
    <r>
      <rPr>
        <sz val="10"/>
        <color rgb="FF000000"/>
        <rFont val="Arial"/>
        <family val="0"/>
        <charset val="1"/>
      </rPr>
      <t xml:space="preserve">34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2,399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(−17.8%) / 37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9,834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/ 27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2,685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(−10.1%) / 19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8,373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(−14.1%)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</si>
  <si>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연간</t>
    </r>
  </si>
  <si>
    <r>
      <rPr>
        <sz val="10"/>
        <color rgb="FF000000"/>
        <rFont val="WenQuanYi Zen Hei"/>
        <family val="2"/>
      </rPr>
      <t xml:space="preserve">국토교통부</t>
    </r>
    <r>
      <rPr>
        <sz val="10"/>
        <color rgb="FF000000"/>
        <rFont val="Arial"/>
        <family val="0"/>
        <charset val="1"/>
      </rPr>
      <t xml:space="preserve">, '25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월 주택통계 </t>
    </r>
    <r>
      <rPr>
        <sz val="10"/>
        <color rgb="FF000000"/>
        <rFont val="Arial"/>
        <family val="0"/>
        <charset val="1"/>
      </rPr>
      <t xml:space="preserve">(2026.1.30): https://www.korea.kr/briefing/pressReleaseView.do?newsId=156742136 , https://www.m-economynews.com/news/article.html?no=64226</t>
    </r>
  </si>
  <si>
    <r>
      <rPr>
        <sz val="10"/>
        <color rgb="FF000000"/>
        <rFont val="WenQuanYi Zen Hei"/>
        <family val="2"/>
      </rPr>
      <t xml:space="preserve">아파트 인허가 </t>
    </r>
    <r>
      <rPr>
        <sz val="10"/>
        <color rgb="FF000000"/>
        <rFont val="Arial"/>
        <family val="0"/>
        <charset val="1"/>
      </rPr>
      <t xml:space="preserve">(2025)</t>
    </r>
  </si>
  <si>
    <r>
      <rPr>
        <sz val="10"/>
        <color rgb="FF000000"/>
        <rFont val="Arial"/>
        <family val="0"/>
        <charset val="1"/>
      </rPr>
      <t xml:space="preserve">34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6,773</t>
    </r>
    <r>
      <rPr>
        <sz val="10"/>
        <color rgb="FF000000"/>
        <rFont val="WenQuanYi Zen Hei"/>
        <family val="2"/>
      </rPr>
      <t xml:space="preserve">가구 </t>
    </r>
    <r>
      <rPr>
        <sz val="10"/>
        <color rgb="FF000000"/>
        <rFont val="Arial"/>
        <family val="0"/>
        <charset val="1"/>
      </rPr>
      <t xml:space="preserve">(2024: 39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7,904)</t>
    </r>
  </si>
  <si>
    <r>
      <rPr>
        <sz val="10"/>
        <color rgb="FF000000"/>
        <rFont val="WenQuanYi Zen Hei"/>
        <family val="2"/>
      </rPr>
      <t xml:space="preserve">국토교통부 주택통계 인용 보도</t>
    </r>
    <r>
      <rPr>
        <sz val="10"/>
        <color rgb="FF000000"/>
        <rFont val="Arial"/>
        <family val="0"/>
        <charset val="1"/>
      </rPr>
      <t xml:space="preserve">: https://www.newsis.com/view/NISX20260129_0003495426</t>
    </r>
  </si>
  <si>
    <t xml:space="preserve">아파트 입주 물량</t>
  </si>
  <si>
    <r>
      <rPr>
        <sz val="10"/>
        <color rgb="FF000000"/>
        <rFont val="Arial"/>
        <family val="0"/>
        <charset val="1"/>
      </rPr>
      <t xml:space="preserve">2025 23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6,263</t>
    </r>
    <r>
      <rPr>
        <sz val="10"/>
        <color rgb="FF000000"/>
        <rFont val="WenQuanYi Zen Hei"/>
        <family val="2"/>
      </rPr>
      <t xml:space="preserve">가구 </t>
    </r>
    <r>
      <rPr>
        <sz val="10"/>
        <color rgb="FF000000"/>
        <rFont val="Arial"/>
        <family val="0"/>
        <charset val="1"/>
      </rPr>
      <t xml:space="preserve">/ 2026 </t>
    </r>
    <r>
      <rPr>
        <sz val="10"/>
        <color rgb="FF000000"/>
        <rFont val="WenQuanYi Zen Hei"/>
        <family val="2"/>
      </rPr>
      <t xml:space="preserve">예정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3,124</t>
    </r>
    <r>
      <rPr>
        <sz val="10"/>
        <color rgb="FF000000"/>
        <rFont val="WenQuanYi Zen Hei"/>
        <family val="2"/>
      </rPr>
      <t xml:space="preserve">가구</t>
    </r>
  </si>
  <si>
    <t xml:space="preserve">https://v.daum.net/v/GCidIvCEQs</t>
  </si>
  <si>
    <r>
      <rPr>
        <sz val="10"/>
        <color rgb="FF000000"/>
        <rFont val="WenQuanYi Zen Hei"/>
        <family val="2"/>
      </rPr>
      <t xml:space="preserve">주택 매매거래 </t>
    </r>
    <r>
      <rPr>
        <sz val="10"/>
        <color rgb="FF000000"/>
        <rFont val="Arial"/>
        <family val="0"/>
        <charset val="1"/>
      </rPr>
      <t xml:space="preserve">(2025)</t>
    </r>
  </si>
  <si>
    <r>
      <rPr>
        <sz val="10"/>
        <color rgb="FF000000"/>
        <rFont val="Arial"/>
        <family val="0"/>
        <charset val="1"/>
      </rPr>
      <t xml:space="preserve">72.6</t>
    </r>
    <r>
      <rPr>
        <sz val="10"/>
        <color rgb="FF000000"/>
        <rFont val="WenQuanYi Zen Hei"/>
        <family val="2"/>
      </rPr>
      <t xml:space="preserve">만호 </t>
    </r>
    <r>
      <rPr>
        <sz val="10"/>
        <color rgb="FF000000"/>
        <rFont val="Arial"/>
        <family val="0"/>
        <charset val="1"/>
      </rPr>
      <t xml:space="preserve">(+13%, 10</t>
    </r>
    <r>
      <rPr>
        <sz val="10"/>
        <color rgb="FF000000"/>
        <rFont val="WenQuanYi Zen Hei"/>
        <family val="2"/>
      </rPr>
      <t xml:space="preserve">년 평균 </t>
    </r>
    <r>
      <rPr>
        <sz val="10"/>
        <color rgb="FF000000"/>
        <rFont val="Arial"/>
        <family val="0"/>
        <charset val="1"/>
      </rPr>
      <t xml:space="preserve">88.5</t>
    </r>
    <r>
      <rPr>
        <sz val="10"/>
        <color rgb="FF000000"/>
        <rFont val="WenQuanYi Zen Hei"/>
        <family val="2"/>
      </rPr>
      <t xml:space="preserve">만호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</si>
  <si>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연간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한국부동산원 자료</t>
    </r>
  </si>
  <si>
    <r>
      <rPr>
        <sz val="10"/>
        <color rgb="FF000000"/>
        <rFont val="Arial"/>
        <family val="0"/>
        <charset val="1"/>
      </rPr>
      <t xml:space="preserve">KB</t>
    </r>
    <r>
      <rPr>
        <sz val="10"/>
        <color rgb="FF000000"/>
        <rFont val="WenQuanYi Zen Hei"/>
        <family val="2"/>
      </rPr>
      <t xml:space="preserve">주택시장리뷰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월호</t>
    </r>
    <r>
      <rPr>
        <sz val="10"/>
        <color rgb="FF000000"/>
        <rFont val="Arial"/>
        <family val="0"/>
        <charset val="1"/>
      </rPr>
      <t xml:space="preserve">: https://kbthink.com/realestate/insights/research/260213-3.html</t>
    </r>
  </si>
  <si>
    <r>
      <rPr>
        <sz val="10"/>
        <color rgb="FF000000"/>
        <rFont val="WenQuanYi Zen Hei"/>
        <family val="2"/>
      </rPr>
      <t xml:space="preserve">국내 리모델링 시장 전망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건축물 전체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비주거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</si>
  <si>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WenQuanYi Zen Hei"/>
        <family val="2"/>
      </rPr>
      <t xml:space="preserve">조원 →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WenQuanYi Zen Hei"/>
        <family val="2"/>
      </rPr>
      <t xml:space="preserve">조원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리모델링 </t>
    </r>
    <r>
      <rPr>
        <sz val="10"/>
        <color rgb="FF000000"/>
        <rFont val="Arial"/>
        <family val="0"/>
        <charset val="1"/>
      </rPr>
      <t xml:space="preserve">23.3</t>
    </r>
    <r>
      <rPr>
        <sz val="10"/>
        <color rgb="FF000000"/>
        <rFont val="WenQuanYi Zen Hei"/>
        <family val="2"/>
      </rPr>
      <t xml:space="preserve">조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유지보수 </t>
    </r>
    <r>
      <rPr>
        <sz val="10"/>
        <color rgb="FF000000"/>
        <rFont val="Arial"/>
        <family val="0"/>
        <charset val="1"/>
      </rPr>
      <t xml:space="preserve">13.8</t>
    </r>
    <r>
      <rPr>
        <sz val="10"/>
        <color rgb="FF000000"/>
        <rFont val="WenQuanYi Zen Hei"/>
        <family val="2"/>
      </rPr>
      <t xml:space="preserve">조</t>
    </r>
    <r>
      <rPr>
        <sz val="10"/>
        <color rgb="FF000000"/>
        <rFont val="Arial"/>
        <family val="0"/>
        <charset val="1"/>
      </rPr>
      <t xml:space="preserve">, 2025)</t>
    </r>
  </si>
  <si>
    <t xml:space="preserve">한국건설산업연구원 전망치</t>
  </si>
  <si>
    <t xml:space="preserve">https://m.ekn.kr/view.php?key=523568</t>
  </si>
  <si>
    <r>
      <rPr>
        <sz val="10"/>
        <color rgb="FF000000"/>
        <rFont val="WenQuanYi Zen Hei"/>
        <family val="2"/>
      </rPr>
      <t xml:space="preserve">한샘 리하우스 스타일패키지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전체 리모델링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</si>
  <si>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평대 평당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만원대 → 약 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WenQuanYi Zen Hei"/>
        <family val="2"/>
      </rPr>
      <t xml:space="preserve">만원</t>
    </r>
  </si>
  <si>
    <r>
      <rPr>
        <sz val="10"/>
        <color rgb="FF000000"/>
        <rFont val="Arial"/>
        <family val="0"/>
        <charset val="1"/>
      </rPr>
      <t xml:space="preserve">2019 </t>
    </r>
    <r>
      <rPr>
        <sz val="10"/>
        <color rgb="FF000000"/>
        <rFont val="WenQuanYi Zen Hei"/>
        <family val="2"/>
      </rPr>
      <t xml:space="preserve">보도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가격 시점 오래됨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</si>
  <si>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https://www.dailian.co.kr/news/view/1008108/</t>
  </si>
  <si>
    <r>
      <rPr>
        <sz val="10"/>
        <color rgb="FF000000"/>
        <rFont val="WenQuanYi Zen Hei"/>
        <family val="2"/>
      </rPr>
      <t xml:space="preserve">프리미엄 </t>
    </r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동향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한샘 키친바흐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빌트인 가전 연계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</si>
  <si>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국내 프리미엄 키친 시장 약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WenQuanYi Zen Hei"/>
        <family val="2"/>
      </rPr>
      <t xml:space="preserve">가 수입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고가 맞춤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키친바흐 매출 </t>
    </r>
    <r>
      <rPr>
        <sz val="10"/>
        <color rgb="FF000000"/>
        <rFont val="Arial"/>
        <family val="0"/>
        <charset val="1"/>
      </rPr>
      <t xml:space="preserve">+17% (2025.6 </t>
    </r>
    <r>
      <rPr>
        <sz val="10"/>
        <color rgb="FF000000"/>
        <rFont val="WenQuanYi Zen Hei"/>
        <family val="2"/>
      </rPr>
      <t xml:space="preserve">기준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WenQuanYi Zen Hei"/>
        <family val="2"/>
      </rPr>
      <t xml:space="preserve">밀레 연계 부엌 매출 </t>
    </r>
    <r>
      <rPr>
        <sz val="10"/>
        <color rgb="FF000000"/>
        <rFont val="Arial"/>
        <family val="0"/>
        <charset val="1"/>
      </rPr>
      <t xml:space="preserve">+173% (2024 </t>
    </r>
    <r>
      <rPr>
        <sz val="10"/>
        <color rgb="FF000000"/>
        <rFont val="WenQuanYi Zen Hei"/>
        <family val="2"/>
      </rPr>
      <t xml:space="preserve">대비</t>
    </r>
    <r>
      <rPr>
        <sz val="10"/>
        <color rgb="FF000000"/>
        <rFont val="Arial"/>
        <family val="0"/>
        <charset val="1"/>
      </rPr>
      <t xml:space="preserve">)</t>
    </r>
  </si>
  <si>
    <t xml:space="preserve">회사 발표 인용 보도</t>
  </si>
  <si>
    <t xml:space="preserve">https://www.heraldk.com/article/2025072318143590645 , https://www.heraldk.com/article/2026062223520679105</t>
  </si>
  <si>
    <t xml:space="preserve">한샘 리하우스 부문 매출</t>
  </si>
  <si>
    <r>
      <rPr>
        <sz val="10"/>
        <color rgb="FF000000"/>
        <rFont val="Arial"/>
        <family val="0"/>
        <charset val="1"/>
      </rPr>
      <t xml:space="preserve">2025 1Q 1,147</t>
    </r>
    <r>
      <rPr>
        <sz val="10"/>
        <color rgb="FF000000"/>
        <rFont val="WenQuanYi Zen Hei"/>
        <family val="2"/>
      </rPr>
      <t xml:space="preserve">억원 </t>
    </r>
    <r>
      <rPr>
        <sz val="10"/>
        <color rgb="FF000000"/>
        <rFont val="Arial"/>
        <family val="0"/>
        <charset val="1"/>
      </rPr>
      <t xml:space="preserve">(−4.3%)</t>
    </r>
  </si>
  <si>
    <t xml:space="preserve">분기 실적</t>
  </si>
  <si>
    <t xml:space="preserve">https://newstomato.com/ReadNews.aspx?no=1284742</t>
  </si>
  <si>
    <t xml:space="preserve">신축 유상옵션 비용 비중</t>
  </si>
  <si>
    <r>
      <rPr>
        <sz val="10"/>
        <color rgb="FF000000"/>
        <rFont val="WenQuanYi Zen Hei"/>
        <family val="2"/>
      </rPr>
      <t xml:space="preserve">분양가상한제 단지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곳 평균 분양가 대비 </t>
    </r>
    <r>
      <rPr>
        <sz val="10"/>
        <color rgb="FF000000"/>
        <rFont val="Arial"/>
        <family val="0"/>
        <charset val="1"/>
      </rPr>
      <t xml:space="preserve">9.7%</t>
    </r>
  </si>
  <si>
    <t xml:space="preserve">수도권 분양 단지 보도</t>
  </si>
  <si>
    <t xml:space="preserve">https://www.etoday.co.kr/news/view/2392578</t>
  </si>
  <si>
    <r>
      <rPr>
        <sz val="10"/>
        <color rgb="FF000000"/>
        <rFont val="WenQuanYi Zen Hei"/>
        <family val="2"/>
      </rPr>
      <t xml:space="preserve">코웨이 실적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렌탈 계정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가전 </t>
    </r>
    <r>
      <rPr>
        <sz val="10"/>
        <color rgb="FF000000"/>
        <rFont val="Arial"/>
        <family val="0"/>
        <charset val="1"/>
      </rPr>
      <t xml:space="preserve">Rental · </t>
    </r>
    <r>
      <rPr>
        <sz val="10"/>
        <color rgb="FF000000"/>
        <rFont val="WenQuanYi Zen Hei"/>
        <family val="2"/>
      </rPr>
      <t xml:space="preserve">방문관리 사례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</si>
  <si>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조</t>
    </r>
    <r>
      <rPr>
        <sz val="10"/>
        <color rgb="FF000000"/>
        <rFont val="Arial"/>
        <family val="0"/>
        <charset val="1"/>
      </rPr>
      <t xml:space="preserve">3,101</t>
    </r>
    <r>
      <rPr>
        <sz val="10"/>
        <color rgb="FF000000"/>
        <rFont val="WenQuanYi Zen Hei"/>
        <family val="2"/>
      </rPr>
      <t xml:space="preserve">억원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국내 계정 </t>
    </r>
    <r>
      <rPr>
        <sz val="10"/>
        <color rgb="FF000000"/>
        <rFont val="Arial"/>
        <family val="0"/>
        <charset val="1"/>
      </rPr>
      <t xml:space="preserve">671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/ 2025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조</t>
    </r>
    <r>
      <rPr>
        <sz val="10"/>
        <color rgb="FF000000"/>
        <rFont val="Arial"/>
        <family val="0"/>
        <charset val="1"/>
      </rPr>
      <t xml:space="preserve">9,636</t>
    </r>
    <r>
      <rPr>
        <sz val="10"/>
        <color rgb="FF000000"/>
        <rFont val="WenQuanYi Zen Hei"/>
        <family val="2"/>
      </rPr>
      <t xml:space="preserve">억원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영업이익 </t>
    </r>
    <r>
      <rPr>
        <sz val="10"/>
        <color rgb="FF000000"/>
        <rFont val="Arial"/>
        <family val="0"/>
        <charset val="1"/>
      </rPr>
      <t xml:space="preserve">8,787</t>
    </r>
    <r>
      <rPr>
        <sz val="10"/>
        <color rgb="FF000000"/>
        <rFont val="WenQuanYi Zen Hei"/>
        <family val="2"/>
      </rPr>
      <t xml:space="preserve">억원 </t>
    </r>
    <r>
      <rPr>
        <sz val="10"/>
        <color rgb="FF000000"/>
        <rFont val="Arial"/>
        <family val="0"/>
        <charset val="1"/>
      </rPr>
      <t xml:space="preserve">/ 2026 1Q </t>
    </r>
    <r>
      <rPr>
        <sz val="10"/>
        <color rgb="FF000000"/>
        <rFont val="WenQuanYi Zen Hei"/>
        <family val="2"/>
      </rPr>
      <t xml:space="preserve">국내 계정 </t>
    </r>
    <r>
      <rPr>
        <sz val="10"/>
        <color rgb="FF000000"/>
        <rFont val="Arial"/>
        <family val="0"/>
        <charset val="1"/>
      </rPr>
      <t xml:space="preserve">748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전체 </t>
    </r>
    <r>
      <rPr>
        <sz val="10"/>
        <color rgb="FF000000"/>
        <rFont val="Arial"/>
        <family val="0"/>
        <charset val="1"/>
      </rPr>
      <t xml:space="preserve">1,173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)</t>
    </r>
  </si>
  <si>
    <t xml:space="preserve">회사 실적 발표 인용 보도</t>
  </si>
  <si>
    <t xml:space="preserve">https://news.bizwatch.co.kr/article/consumer/2025/02/14/0029 , https://dealsite.co.kr/articles/156536 , https://www.heraldk.com/article/2026050717254859414</t>
  </si>
  <si>
    <r>
      <rPr>
        <sz val="10"/>
        <color rgb="FF000000"/>
        <rFont val="WenQuanYi Zen Hei"/>
        <family val="2"/>
      </rPr>
      <t xml:space="preserve">가전 </t>
    </r>
    <r>
      <rPr>
        <sz val="10"/>
        <color rgb="FF000000"/>
        <rFont val="Arial"/>
        <family val="0"/>
        <charset val="1"/>
      </rPr>
      <t xml:space="preserve">A/S </t>
    </r>
    <r>
      <rPr>
        <sz val="10"/>
        <color rgb="FF000000"/>
        <rFont val="WenQuanYi Zen Hei"/>
        <family val="2"/>
      </rPr>
      <t xml:space="preserve">출장비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소비자 부과분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</si>
  <si>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삼성전자서비스 평절기 기본 </t>
    </r>
    <r>
      <rPr>
        <sz val="10"/>
        <color rgb="FF000000"/>
        <rFont val="Arial"/>
        <family val="0"/>
        <charset val="1"/>
      </rPr>
      <t xml:space="preserve">2.8</t>
    </r>
    <r>
      <rPr>
        <sz val="10"/>
        <color rgb="FF000000"/>
        <rFont val="WenQuanYi Zen Hei"/>
        <family val="2"/>
      </rPr>
      <t xml:space="preserve">만원 </t>
    </r>
    <r>
      <rPr>
        <sz val="10"/>
        <color rgb="FF000000"/>
        <rFont val="Arial"/>
        <family val="0"/>
        <charset val="1"/>
      </rPr>
      <t xml:space="preserve">(2026.1.8~) / LG</t>
    </r>
    <r>
      <rPr>
        <sz val="10"/>
        <color rgb="FF000000"/>
        <rFont val="WenQuanYi Zen Hei"/>
        <family val="2"/>
      </rPr>
      <t xml:space="preserve">전자 평절기 평일 주간 </t>
    </r>
    <r>
      <rPr>
        <sz val="10"/>
        <color rgb="FF000000"/>
        <rFont val="Arial"/>
        <family val="0"/>
        <charset val="1"/>
      </rPr>
      <t xml:space="preserve">2.8</t>
    </r>
    <r>
      <rPr>
        <sz val="10"/>
        <color rgb="FF000000"/>
        <rFont val="WenQuanYi Zen Hei"/>
        <family val="2"/>
      </rPr>
      <t xml:space="preserve">만원</t>
    </r>
  </si>
  <si>
    <t xml:space="preserve">2026</t>
  </si>
  <si>
    <t xml:space="preserve">https://biz.sbs.co.kr/amp/article/20000282569 , https://biz.sbs.co.kr/amp/article/20000310315</t>
  </si>
  <si>
    <t xml:space="preserve">가사서비스 요금</t>
  </si>
  <si>
    <r>
      <rPr>
        <sz val="10"/>
        <color rgb="FF000000"/>
        <rFont val="WenQuanYi Zen Hei"/>
        <family val="2"/>
      </rPr>
      <t xml:space="preserve">플랫폼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시간 </t>
    </r>
    <r>
      <rPr>
        <sz val="10"/>
        <color rgb="FF000000"/>
        <rFont val="Arial"/>
        <family val="0"/>
        <charset val="1"/>
      </rPr>
      <t xml:space="preserve">59,900~64,900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1.5~1.6</t>
    </r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/h) / 2026 </t>
    </r>
    <r>
      <rPr>
        <sz val="10"/>
        <color rgb="FF000000"/>
        <rFont val="WenQuanYi Zen Hei"/>
        <family val="2"/>
      </rPr>
      <t xml:space="preserve">최저임금 </t>
    </r>
    <r>
      <rPr>
        <sz val="10"/>
        <color rgb="FF000000"/>
        <rFont val="Arial"/>
        <family val="0"/>
        <charset val="1"/>
      </rPr>
      <t xml:space="preserve">10,320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</si>
  <si>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공개 요금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고시</t>
    </r>
  </si>
  <si>
    <t xml:space="preserve">https://apps.apple.com/pl/app/id997730211 , https://www.activpayroll.com/news-articles/south-korea-announces-2026-minimum-wage-increase</t>
  </si>
  <si>
    <r>
      <rPr>
        <sz val="10"/>
        <color rgb="FF000000"/>
        <rFont val="WenQuanYi Zen Hei"/>
        <family val="2"/>
      </rPr>
      <t xml:space="preserve">협동로봇 가격 </t>
    </r>
    <r>
      <rPr>
        <sz val="10"/>
        <color rgb="FF000000"/>
        <rFont val="Arial"/>
        <family val="0"/>
        <charset val="1"/>
      </rPr>
      <t xml:space="preserve">(Arm + Controller)</t>
    </r>
  </si>
  <si>
    <r>
      <rPr>
        <sz val="10"/>
        <color rgb="FF000000"/>
        <rFont val="Arial"/>
        <family val="0"/>
        <charset val="1"/>
      </rPr>
      <t xml:space="preserve">UR3e $23k~33k (</t>
    </r>
    <r>
      <rPr>
        <sz val="10"/>
        <color rgb="FF000000"/>
        <rFont val="WenQuanYi Zen Hei"/>
        <family val="2"/>
      </rPr>
      <t xml:space="preserve">공식 정가 미공개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유통가</t>
    </r>
    <r>
      <rPr>
        <sz val="10"/>
        <color rgb="FF000000"/>
        <rFont val="Arial"/>
        <family val="0"/>
        <charset val="1"/>
      </rPr>
      <t xml:space="preserve">) / Doosan E0509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$22k / UFACTORY xArm 6 $8,399 / FAIRINO FR5 $6,999 / UFACTORY Lite 6 Kit $4,482 (</t>
    </r>
    <r>
      <rPr>
        <sz val="10"/>
        <color rgb="FF000000"/>
        <rFont val="WenQuanYi Zen Hei"/>
        <family val="2"/>
      </rPr>
      <t xml:space="preserve">가반 </t>
    </r>
    <r>
      <rPr>
        <sz val="10"/>
        <color rgb="FF000000"/>
        <rFont val="Arial"/>
        <family val="0"/>
        <charset val="1"/>
      </rPr>
      <t xml:space="preserve">0.6kg)</t>
    </r>
  </si>
  <si>
    <r>
      <rPr>
        <sz val="10"/>
        <color rgb="FF000000"/>
        <rFont val="WenQuanYi Zen Hei"/>
        <family val="2"/>
      </rPr>
      <t xml:space="preserve">유통가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공개가 </t>
    </r>
    <r>
      <rPr>
        <sz val="10"/>
        <color rgb="FF000000"/>
        <rFont val="Arial"/>
        <family val="0"/>
        <charset val="1"/>
      </rPr>
      <t xml:space="preserve">(2025~2026)</t>
    </r>
  </si>
  <si>
    <t xml:space="preserve">https://standardbots.com/blog/universal-robot-price , https://robotomated.com/explore/manufacturing/doosan-e-series-e0509 , https://www.robotshop.com/products/xarm-6-dof-robotic-arm , https://top3dshop.com/product/fairino-fr5-robotic-arm , https://www.robotshop.com/products/ufactory-6-axis-robot-arm-lite-6-kit</t>
  </si>
  <si>
    <t xml:space="preserve">Gripper / Fingertip / Food-grade Suction Cup</t>
  </si>
  <si>
    <r>
      <rPr>
        <sz val="10"/>
        <color rgb="FF000000"/>
        <rFont val="Arial"/>
        <family val="0"/>
        <charset val="1"/>
      </rPr>
      <t xml:space="preserve">Robotiq 2F-85 $4,999~ / OnRobot RG2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$3,200 / Robotiq Fingertip $175~195 / Piab Food-grade Silicone Cup £7~20 (FDA 21 CFR 177.2600) / 2026 </t>
    </r>
    <r>
      <rPr>
        <sz val="10"/>
        <color rgb="FF000000"/>
        <rFont val="WenQuanYi Zen Hei"/>
        <family val="2"/>
      </rPr>
      <t xml:space="preserve">판매가 </t>
    </r>
    <r>
      <rPr>
        <sz val="10"/>
        <color rgb="FF000000"/>
        <rFont val="Arial"/>
        <family val="0"/>
        <charset val="1"/>
      </rPr>
      <t xml:space="preserve">2F-85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$5,825 (</t>
    </r>
    <r>
      <rPr>
        <sz val="10"/>
        <color rgb="FF000000"/>
        <rFont val="WenQuanYi Zen Hei"/>
        <family val="2"/>
      </rPr>
      <t xml:space="preserve">미국 리셀러</t>
    </r>
    <r>
      <rPr>
        <sz val="10"/>
        <color rgb="FF000000"/>
        <rFont val="Arial"/>
        <family val="0"/>
        <charset val="1"/>
      </rPr>
      <t xml:space="preserve">, Coupling · Fingertip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)</t>
    </r>
  </si>
  <si>
    <t xml:space="preserve">공개가</t>
  </si>
  <si>
    <t xml:space="preserve">https://qviro.com/product/robotiq/2f-85-robotiq/ , https://www.roboticscenter.ai/en/hardware/robotiq-2f-85 , https://automationdistribution.com/brands/Robotiq.html , https://uk.rubix.com/en/flat-suction-cups-f-silicone/p-G2010133211 , https://www.roboticscenter.ai/ko/blog/robotiq-gripper-guide</t>
  </si>
  <si>
    <t xml:space="preserve">Depth Camera</t>
  </si>
  <si>
    <t xml:space="preserve">Intel RealSense D405 $514 / D435 $538 / Orbbec Gemini 335 $384~400</t>
  </si>
  <si>
    <t xml:space="preserve">https://openelab.com/collections/robotic-camera , https://knoxlabs.com/products/orbbec-gemini-335-depth-camera</t>
  </si>
  <si>
    <r>
      <rPr>
        <sz val="10"/>
        <color rgb="FF000000"/>
        <rFont val="Arial"/>
        <family val="0"/>
        <charset val="1"/>
      </rPr>
      <t xml:space="preserve">Linear Module (</t>
    </r>
    <r>
      <rPr>
        <sz val="10"/>
        <color rgb="FF000000"/>
        <rFont val="WenQuanYi Zen Hei"/>
        <family val="2"/>
      </rPr>
      <t xml:space="preserve">소형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</si>
  <si>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HIWIN KK </t>
    </r>
    <r>
      <rPr>
        <sz val="10"/>
        <color rgb="FF000000"/>
        <rFont val="WenQuanYi Zen Hei"/>
        <family val="2"/>
      </rPr>
      <t xml:space="preserve">계열 </t>
    </r>
    <r>
      <rPr>
        <sz val="10"/>
        <color rgb="FF000000"/>
        <rFont val="Arial"/>
        <family val="0"/>
        <charset val="1"/>
      </rPr>
      <t xml:space="preserve">$73~245 (</t>
    </r>
    <r>
      <rPr>
        <sz val="10"/>
        <color rgb="FF000000"/>
        <rFont val="WenQuanYi Zen Hei"/>
        <family val="2"/>
      </rPr>
      <t xml:space="preserve">소형 모듈</t>
    </r>
    <r>
      <rPr>
        <sz val="10"/>
        <color rgb="FF000000"/>
        <rFont val="Arial"/>
        <family val="0"/>
        <charset val="1"/>
      </rPr>
      <t xml:space="preserve">, Robot 7</t>
    </r>
    <r>
      <rPr>
        <sz val="10"/>
        <color rgb="FF000000"/>
        <rFont val="WenQuanYi Zen Hei"/>
        <family val="2"/>
      </rPr>
      <t xml:space="preserve">축 </t>
    </r>
    <r>
      <rPr>
        <sz val="10"/>
        <color rgb="FF000000"/>
        <rFont val="Arial"/>
        <family val="0"/>
        <charset val="1"/>
      </rPr>
      <t xml:space="preserve">Rail</t>
    </r>
    <r>
      <rPr>
        <sz val="10"/>
        <color rgb="FF000000"/>
        <rFont val="WenQuanYi Zen Hei"/>
        <family val="2"/>
      </rPr>
      <t xml:space="preserve">과 다름</t>
    </r>
    <r>
      <rPr>
        <sz val="10"/>
        <color rgb="FF000000"/>
        <rFont val="Arial"/>
        <family val="0"/>
        <charset val="1"/>
      </rPr>
      <t xml:space="preserve">)</t>
    </r>
  </si>
  <si>
    <t xml:space="preserve">유통가</t>
  </si>
  <si>
    <t xml:space="preserve">https://qviro.com/product/hiwin/electric-linear-axis-kk-series</t>
  </si>
  <si>
    <r>
      <rPr>
        <sz val="10"/>
        <color rgb="FF000000"/>
        <rFont val="Arial"/>
        <family val="0"/>
        <charset val="1"/>
      </rPr>
      <t xml:space="preserve">1X NEO (</t>
    </r>
    <r>
      <rPr>
        <sz val="10"/>
        <color rgb="FF000000"/>
        <rFont val="WenQuanYi Zen Hei"/>
        <family val="2"/>
      </rPr>
      <t xml:space="preserve">가정용 </t>
    </r>
    <r>
      <rPr>
        <sz val="10"/>
        <color rgb="FF000000"/>
        <rFont val="Arial"/>
        <family val="0"/>
        <charset val="1"/>
      </rPr>
      <t xml:space="preserve">Humanoid)</t>
    </r>
  </si>
  <si>
    <r>
      <rPr>
        <sz val="10"/>
        <color rgb="FF000000"/>
        <rFont val="Arial"/>
        <family val="0"/>
        <charset val="1"/>
      </rPr>
      <t xml:space="preserve">$20,000 </t>
    </r>
    <r>
      <rPr>
        <sz val="10"/>
        <color rgb="FF000000"/>
        <rFont val="WenQuanYi Zen Hei"/>
        <family val="2"/>
      </rPr>
      <t xml:space="preserve">구매 또는 월 </t>
    </r>
    <r>
      <rPr>
        <sz val="10"/>
        <color rgb="FF000000"/>
        <rFont val="Arial"/>
        <family val="0"/>
        <charset val="1"/>
      </rPr>
      <t xml:space="preserve">$499 </t>
    </r>
    <r>
      <rPr>
        <sz val="10"/>
        <color rgb="FF000000"/>
        <rFont val="WenQuanYi Zen Hei"/>
        <family val="2"/>
      </rPr>
      <t xml:space="preserve">구독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첫 가정 배송 목표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말 </t>
    </r>
    <r>
      <rPr>
        <sz val="10"/>
        <color rgb="FF000000"/>
        <rFont val="Arial"/>
        <family val="0"/>
        <charset val="1"/>
      </rPr>
      <t xml:space="preserve">(2026.10 </t>
    </r>
    <r>
      <rPr>
        <sz val="10"/>
        <color rgb="FF000000"/>
        <rFont val="WenQuanYi Zen Hei"/>
        <family val="2"/>
      </rPr>
      <t xml:space="preserve">기준 고객 배송 완료 확인 안 됨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</si>
  <si>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https://www.fastcompany.com/91428202/1x-technologies-home-robot-neo , https://heise.de/-11287205</t>
  </si>
  <si>
    <t xml:space="preserve">Sunday Robotics Memo</t>
  </si>
  <si>
    <r>
      <rPr>
        <sz val="10"/>
        <color rgb="FF000000"/>
        <rFont val="WenQuanYi Zen Hei"/>
        <family val="2"/>
      </rPr>
      <t xml:space="preserve">식세기 적재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테이블 정리 시연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회사 발표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낯선 </t>
    </r>
    <r>
      <rPr>
        <sz val="10"/>
        <color rgb="FF000000"/>
        <rFont val="Arial"/>
        <family val="0"/>
        <charset val="1"/>
      </rPr>
      <t xml:space="preserve">Airbnb 6</t>
    </r>
    <r>
      <rPr>
        <sz val="10"/>
        <color rgb="FF000000"/>
        <rFont val="WenQuanYi Zen Hei"/>
        <family val="2"/>
      </rPr>
      <t xml:space="preserve">곳 시연 보도</t>
    </r>
    <r>
      <rPr>
        <sz val="10"/>
        <color rgb="FF000000"/>
        <rFont val="Arial"/>
        <family val="0"/>
        <charset val="1"/>
      </rPr>
      <t xml:space="preserve">) · Beta 2026</t>
    </r>
    <r>
      <rPr>
        <sz val="10"/>
        <color rgb="FF000000"/>
        <rFont val="WenQuanYi Zen Hei"/>
        <family val="2"/>
      </rPr>
      <t xml:space="preserve">년 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회사 웹사이트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양산 시 </t>
    </r>
    <r>
      <rPr>
        <sz val="10"/>
        <color rgb="FF000000"/>
        <rFont val="Arial"/>
        <family val="0"/>
        <charset val="1"/>
      </rPr>
      <t xml:space="preserve">$10k </t>
    </r>
    <r>
      <rPr>
        <sz val="10"/>
        <color rgb="FF000000"/>
        <rFont val="WenQuanYi Zen Hei"/>
        <family val="2"/>
      </rPr>
      <t xml:space="preserve">미만 목표</t>
    </r>
  </si>
  <si>
    <t xml:space="preserve">보도</t>
  </si>
  <si>
    <t xml:space="preserve">https://euronews.com/next/2025/11/25/meet-memo-a-home-robot-that-can-grab-wine-glasses-and-load-the-dishwasher , https://sacra.com/c/sunday/ , https://sunday.ai/ , https://www.eweek.com/news/sunday-memo-home-robot/</t>
  </si>
  <si>
    <t xml:space="preserve">LG CLOiD</t>
  </si>
  <si>
    <r>
      <rPr>
        <sz val="10"/>
        <color rgb="FF000000"/>
        <rFont val="Arial"/>
        <family val="0"/>
        <charset val="1"/>
      </rPr>
      <t xml:space="preserve">CES 2026 </t>
    </r>
    <r>
      <rPr>
        <sz val="10"/>
        <color rgb="FF000000"/>
        <rFont val="WenQuanYi Zen Hei"/>
        <family val="2"/>
      </rPr>
      <t xml:space="preserve">공개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식세기 비우기 등 시연 </t>
    </r>
    <r>
      <rPr>
        <sz val="10"/>
        <color rgb="FF000000"/>
        <rFont val="Arial"/>
        <family val="0"/>
        <charset val="1"/>
      </rPr>
      <t xml:space="preserve">· 2026 </t>
    </r>
    <r>
      <rPr>
        <sz val="10"/>
        <color rgb="FF000000"/>
        <rFont val="WenQuanYi Zen Hei"/>
        <family val="2"/>
      </rPr>
      <t xml:space="preserve">현장 실증 → 가정용 상용화 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목표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회사 언급 보도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팔 작업 범위 무릎 높이 이상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보도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판매가 미공개</t>
    </r>
  </si>
  <si>
    <t xml:space="preserve">CES 2026</t>
  </si>
  <si>
    <t xml:space="preserve">https://www.dezeen.com/2026/01/06/lg-ai-powered-robot-ces-2026/ , https://v.daum.net/v/20260429185809070 , https://www.nocutnews.co.kr/news/6453121</t>
  </si>
  <si>
    <r>
      <rPr>
        <sz val="10"/>
        <color rgb="FF000000"/>
        <rFont val="Arial"/>
        <family val="0"/>
        <charset val="1"/>
      </rPr>
      <t xml:space="preserve">Samsung (</t>
    </r>
    <r>
      <rPr>
        <sz val="10"/>
        <color rgb="FF000000"/>
        <rFont val="WenQuanYi Zen Hei"/>
        <family val="2"/>
      </rPr>
      <t xml:space="preserve">가정용 로봇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주방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</si>
  <si>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Bot Handy: CES 2021 </t>
    </r>
    <r>
      <rPr>
        <sz val="10"/>
        <color rgb="FF000000"/>
        <rFont val="WenQuanYi Zen Hei"/>
        <family val="2"/>
      </rPr>
      <t xml:space="preserve">공개 </t>
    </r>
    <r>
      <rPr>
        <sz val="10"/>
        <color rgb="FF000000"/>
        <rFont val="Arial"/>
        <family val="0"/>
        <charset val="1"/>
      </rPr>
      <t xml:space="preserve">Concept (</t>
    </r>
    <r>
      <rPr>
        <sz val="10"/>
        <color rgb="FF000000"/>
        <rFont val="WenQuanYi Zen Hei"/>
        <family val="2"/>
      </rPr>
      <t xml:space="preserve">식기 이동 시연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출시 일정 미공개 </t>
    </r>
    <r>
      <rPr>
        <sz val="10"/>
        <color rgb="FF000000"/>
        <rFont val="Arial"/>
        <family val="0"/>
        <charset val="1"/>
      </rPr>
      <t xml:space="preserve">/ CES · IFA 2026 </t>
    </r>
    <r>
      <rPr>
        <sz val="10"/>
        <color rgb="FF000000"/>
        <rFont val="WenQuanYi Zen Hei"/>
        <family val="2"/>
      </rPr>
      <t xml:space="preserve">주방 전시는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가전 중심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식기 로봇 출시 확인 안 됨</t>
    </r>
  </si>
  <si>
    <t xml:space="preserve">https://www.sammobile.com/news/meet-samsung-new-ai-powered-household-robots-ces-2021/ , https://www.tomsguide.com/home/home-appliances/2026-could-be-a-tipping-point-for-the-smart-kitchen-according-to-samsung</t>
  </si>
  <si>
    <t xml:space="preserve">Moley Robotic Kitchen</t>
  </si>
  <si>
    <r>
      <rPr>
        <sz val="10"/>
        <color rgb="FF000000"/>
        <rFont val="Arial"/>
        <family val="0"/>
        <charset val="1"/>
      </rPr>
      <t xml:space="preserve">Arm </t>
    </r>
    <r>
      <rPr>
        <sz val="10"/>
        <color rgb="FF000000"/>
        <rFont val="WenQuanYi Zen Hei"/>
        <family val="2"/>
      </rPr>
      <t xml:space="preserve">포함 </t>
    </r>
    <r>
      <rPr>
        <sz val="10"/>
        <color rgb="FF000000"/>
        <rFont val="Arial"/>
        <family val="0"/>
        <charset val="1"/>
      </rPr>
      <t xml:space="preserve">£248,000 / Arm </t>
    </r>
    <r>
      <rPr>
        <sz val="10"/>
        <color rgb="FF000000"/>
        <rFont val="WenQuanYi Zen Hei"/>
        <family val="2"/>
      </rPr>
      <t xml:space="preserve">제외 </t>
    </r>
    <r>
      <rPr>
        <sz val="10"/>
        <color rgb="FF000000"/>
        <rFont val="Arial"/>
        <family val="0"/>
        <charset val="1"/>
      </rPr>
      <t xml:space="preserve">£128,000~140,000 (</t>
    </r>
    <r>
      <rPr>
        <sz val="10"/>
        <color rgb="FF000000"/>
        <rFont val="WenQuanYi Zen Hei"/>
        <family val="2"/>
      </rPr>
      <t xml:space="preserve">천장 </t>
    </r>
    <r>
      <rPr>
        <sz val="10"/>
        <color rgb="FF000000"/>
        <rFont val="Arial"/>
        <family val="0"/>
        <charset val="1"/>
      </rPr>
      <t xml:space="preserve">Rail </t>
    </r>
    <r>
      <rPr>
        <sz val="10"/>
        <color rgb="FF000000"/>
        <rFont val="WenQuanYi Zen Hei"/>
        <family val="2"/>
      </rPr>
      <t xml:space="preserve">양팔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</si>
  <si>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2021 </t>
    </r>
    <r>
      <rPr>
        <sz val="10"/>
        <color rgb="FF000000"/>
        <rFont val="WenQuanYi Zen Hei"/>
        <family val="2"/>
      </rPr>
      <t xml:space="preserve">판매 개시 보도</t>
    </r>
  </si>
  <si>
    <t xml:space="preserve">https://thespoon.tech/moleys-robotic-kitchen-goes-on-sale/</t>
  </si>
  <si>
    <t xml:space="preserve">Posha (Countertop Cooking Robot)</t>
  </si>
  <si>
    <r>
      <rPr>
        <sz val="10"/>
        <color rgb="FF000000"/>
        <rFont val="Arial"/>
        <family val="0"/>
        <charset val="1"/>
      </rPr>
      <t xml:space="preserve">$1,750 (</t>
    </r>
    <r>
      <rPr>
        <sz val="10"/>
        <color rgb="FF000000"/>
        <rFont val="WenQuanYi Zen Hei"/>
        <family val="2"/>
      </rPr>
      <t xml:space="preserve">선주문 </t>
    </r>
    <r>
      <rPr>
        <sz val="10"/>
        <color rgb="FF000000"/>
        <rFont val="Arial"/>
        <family val="0"/>
        <charset val="1"/>
      </rPr>
      <t xml:space="preserve">$1,500) + 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$15</t>
    </r>
  </si>
  <si>
    <t xml:space="preserve">2025</t>
  </si>
  <si>
    <t xml:space="preserve">https://techcrunch.com/2025/05/06/meet-posha-a-countertop-robot-that-cooks-your-meals-for-you</t>
  </si>
  <si>
    <t xml:space="preserve">Tesla Optimus / Figure 03</t>
  </si>
  <si>
    <r>
      <rPr>
        <sz val="10"/>
        <color rgb="FF000000"/>
        <rFont val="Arial"/>
        <family val="0"/>
        <charset val="1"/>
      </rPr>
      <t xml:space="preserve">Optimus </t>
    </r>
    <r>
      <rPr>
        <sz val="10"/>
        <color rgb="FF000000"/>
        <rFont val="WenQuanYi Zen Hei"/>
        <family val="2"/>
      </rPr>
      <t xml:space="preserve">소비자 목표가 </t>
    </r>
    <r>
      <rPr>
        <sz val="10"/>
        <color rgb="FF000000"/>
        <rFont val="Arial"/>
        <family val="0"/>
        <charset val="1"/>
      </rPr>
      <t xml:space="preserve">$20k~30k (</t>
    </r>
    <r>
      <rPr>
        <sz val="10"/>
        <color rgb="FF000000"/>
        <rFont val="WenQuanYi Zen Hei"/>
        <family val="2"/>
      </rPr>
      <t xml:space="preserve">양산 시</t>
    </r>
    <r>
      <rPr>
        <sz val="10"/>
        <color rgb="FF000000"/>
        <rFont val="Arial"/>
        <family val="0"/>
        <charset val="1"/>
      </rPr>
      <t xml:space="preserve">, 2027 </t>
    </r>
    <r>
      <rPr>
        <sz val="10"/>
        <color rgb="FF000000"/>
        <rFont val="WenQuanYi Zen Hei"/>
        <family val="2"/>
      </rPr>
      <t xml:space="preserve">전후</t>
    </r>
    <r>
      <rPr>
        <sz val="10"/>
        <color rgb="FF000000"/>
        <rFont val="Arial"/>
        <family val="0"/>
        <charset val="1"/>
      </rPr>
      <t xml:space="preserve">) / Figure 03 </t>
    </r>
    <r>
      <rPr>
        <sz val="10"/>
        <color rgb="FF000000"/>
        <rFont val="WenQuanYi Zen Hei"/>
        <family val="2"/>
      </rPr>
      <t xml:space="preserve">가사 시연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가격 미공개</t>
    </r>
  </si>
  <si>
    <t xml:space="preserve">https://www.notebookcheck.net/Optimus-as-a-household-helper-Elon-Musk-plans-to-bring-Tesla-robots-into-private-homes-starting-in-2027.1212513.0.html , https://getcoai.com/news/stay-at-home-bots-figure-03-humanoid-robot-can-fold-laundry-wash-dishes</t>
  </si>
  <si>
    <t xml:space="preserve">IFR World Robotics 2025 — Service Robots</t>
  </si>
  <si>
    <r>
      <rPr>
        <sz val="10"/>
        <color rgb="FF000000"/>
        <rFont val="WenQuanYi Zen Hei"/>
        <family val="2"/>
      </rPr>
      <t xml:space="preserve">소비자용 서비스로봇 약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만대 </t>
    </r>
    <r>
      <rPr>
        <sz val="10"/>
        <color rgb="FF000000"/>
        <rFont val="Arial"/>
        <family val="0"/>
        <charset val="1"/>
      </rPr>
      <t xml:space="preserve">(2024, +11%, </t>
    </r>
    <r>
      <rPr>
        <sz val="10"/>
        <color rgb="FF000000"/>
        <rFont val="WenQuanYi Zen Hei"/>
        <family val="2"/>
      </rPr>
      <t xml:space="preserve">대부분 청소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잔디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WenQuanYi Zen Hei"/>
        <family val="2"/>
      </rPr>
      <t xml:space="preserve">전문 서비스로봇 약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만대 </t>
    </r>
    <r>
      <rPr>
        <sz val="10"/>
        <color rgb="FF000000"/>
        <rFont val="Arial"/>
        <family val="0"/>
        <charset val="1"/>
      </rPr>
      <t xml:space="preserve">(+9%)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</si>
  <si>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판매</t>
    </r>
  </si>
  <si>
    <t xml:space="preserve">https://ifr.org/ifr-press-releases/news/service-robots-see-global-growth-boom</t>
  </si>
  <si>
    <t xml:space="preserve">Robot Density (IFR World Robotics 2024)</t>
  </si>
  <si>
    <r>
      <rPr>
        <sz val="10"/>
        <color rgb="FF000000"/>
        <rFont val="WenQuanYi Zen Hei"/>
        <family val="2"/>
      </rPr>
      <t xml:space="preserve">한국 제조업 근로자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만명당 </t>
    </r>
    <r>
      <rPr>
        <sz val="10"/>
        <color rgb="FF000000"/>
        <rFont val="Arial"/>
        <family val="0"/>
        <charset val="1"/>
      </rPr>
      <t xml:space="preserve">1,012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세계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위</t>
    </r>
    <r>
      <rPr>
        <sz val="10"/>
        <color rgb="FF000000"/>
        <rFont val="Arial"/>
        <family val="0"/>
        <charset val="1"/>
      </rPr>
      <t xml:space="preserve">, 2023)</t>
    </r>
  </si>
  <si>
    <t xml:space="preserve">IFR</t>
  </si>
  <si>
    <t xml:space="preserve">https://www.koreaherald.com/article/10011543</t>
  </si>
  <si>
    <t xml:space="preserve">ISO 10218-1/-2:2025</t>
  </si>
  <si>
    <r>
      <rPr>
        <sz val="10"/>
        <color rgb="FF000000"/>
        <rFont val="Arial"/>
        <family val="0"/>
        <charset val="1"/>
      </rPr>
      <t xml:space="preserve">2025.2 </t>
    </r>
    <r>
      <rPr>
        <sz val="10"/>
        <color rgb="FF000000"/>
        <rFont val="WenQuanYi Zen Hei"/>
        <family val="2"/>
      </rPr>
      <t xml:space="preserve">발행</t>
    </r>
    <r>
      <rPr>
        <sz val="10"/>
        <color rgb="FF000000"/>
        <rFont val="Arial"/>
        <family val="0"/>
        <charset val="1"/>
      </rPr>
      <t xml:space="preserve">. ISO/TS 15066 (PFL·SSM) </t>
    </r>
    <r>
      <rPr>
        <sz val="10"/>
        <color rgb="FF000000"/>
        <rFont val="WenQuanYi Zen Hei"/>
        <family val="2"/>
      </rPr>
      <t xml:space="preserve">요구사항을 본문에 통합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기능안전</t>
    </r>
    <r>
      <rPr>
        <sz val="10"/>
        <color rgb="FF000000"/>
        <rFont val="Arial"/>
        <family val="0"/>
        <charset val="1"/>
      </rPr>
      <t xml:space="preserve">·Cybersecurity </t>
    </r>
    <r>
      <rPr>
        <sz val="10"/>
        <color rgb="FF000000"/>
        <rFont val="WenQuanYi Zen Hei"/>
        <family val="2"/>
      </rPr>
      <t xml:space="preserve">강화</t>
    </r>
  </si>
  <si>
    <t xml:space="preserve">표준</t>
  </si>
  <si>
    <t xml:space="preserve">https://www.sick.com/kr/ko/w/blog-robotic-norm-iso10218 , https://www.evsint.com/industrial-robot-safety-standards-iso-10218-ce-marking-2026/</t>
  </si>
  <si>
    <t xml:space="preserve">TIPS 2026</t>
  </si>
  <si>
    <r>
      <rPr>
        <sz val="10"/>
        <color rgb="FF000000"/>
        <rFont val="WenQuanYi Zen Hei"/>
        <family val="2"/>
      </rPr>
      <t xml:space="preserve">일반 </t>
    </r>
    <r>
      <rPr>
        <sz val="10"/>
        <color rgb="FF000000"/>
        <rFont val="Arial"/>
        <family val="0"/>
        <charset val="1"/>
      </rPr>
      <t xml:space="preserve">TIPS R&amp;D </t>
    </r>
    <r>
      <rPr>
        <sz val="10"/>
        <color rgb="FF000000"/>
        <rFont val="WenQuanYi Zen Hei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·24</t>
    </r>
    <r>
      <rPr>
        <sz val="10"/>
        <color rgb="FF000000"/>
        <rFont val="WenQuanYi Zen Hei"/>
        <family val="2"/>
      </rPr>
      <t xml:space="preserve">개월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딥테크 </t>
    </r>
    <r>
      <rPr>
        <sz val="10"/>
        <color rgb="FF000000"/>
        <rFont val="Arial"/>
        <family val="0"/>
        <charset val="1"/>
      </rPr>
      <t xml:space="preserve">TIPS </t>
    </r>
    <r>
      <rPr>
        <sz val="10"/>
        <color rgb="FF000000"/>
        <rFont val="WenQuanYi Zen Hei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·36</t>
    </r>
    <r>
      <rPr>
        <sz val="10"/>
        <color rgb="FF000000"/>
        <rFont val="WenQuanYi Zen Hei"/>
        <family val="2"/>
      </rPr>
      <t xml:space="preserve">개월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요건 별도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</si>
  <si>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중소벤처기업부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공고</t>
    </r>
  </si>
  <si>
    <t xml:space="preserve">https://www.unicornfactory.co.kr/article/2026012511000214016 , https://www.venturesquare.net/announcement/1035119</t>
  </si>
  <si>
    <t xml:space="preserve">식기세척기 보급률</t>
  </si>
  <si>
    <r>
      <rPr>
        <sz val="10"/>
        <color rgb="FF000000"/>
        <rFont val="Arial"/>
        <family val="0"/>
        <charset val="1"/>
      </rPr>
      <t xml:space="preserve">2019~2020 </t>
    </r>
    <r>
      <rPr>
        <sz val="10"/>
        <color rgb="FF000000"/>
        <rFont val="WenQuanYi Zen Hei"/>
        <family val="2"/>
      </rPr>
      <t xml:space="preserve">업계 추정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대 초반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최신 공식 통계 확인 안 됨 → </t>
    </r>
    <r>
      <rPr>
        <sz val="10"/>
        <color rgb="FF000000"/>
        <rFont val="Arial"/>
        <family val="0"/>
        <charset val="1"/>
      </rPr>
      <t xml:space="preserve">TO BE VALIDATED)</t>
    </r>
  </si>
  <si>
    <t xml:space="preserve">업계 추정 보도</t>
  </si>
  <si>
    <t xml:space="preserve">https://www.etoday.co.kr/news/view/1789343</t>
  </si>
  <si>
    <r>
      <rPr>
        <sz val="10"/>
        <color rgb="FF000000"/>
        <rFont val="Arial"/>
        <family val="0"/>
        <charset val="1"/>
      </rPr>
      <t xml:space="preserve">ISO 13482 (Personal Care Robot) </t>
    </r>
    <r>
      <rPr>
        <sz val="10"/>
        <color rgb="FF000000"/>
        <rFont val="WenQuanYi Zen Hei"/>
        <family val="2"/>
      </rPr>
      <t xml:space="preserve">국내 인증 사례</t>
    </r>
  </si>
  <si>
    <r>
      <rPr>
        <sz val="10"/>
        <color rgb="FF000000"/>
        <rFont val="WenQuanYi Zen Hei"/>
        <family val="2"/>
      </rPr>
      <t xml:space="preserve">유진로봇 </t>
    </r>
    <r>
      <rPr>
        <sz val="10"/>
        <color rgb="FF000000"/>
        <rFont val="Arial"/>
        <family val="0"/>
        <charset val="1"/>
      </rPr>
      <t xml:space="preserve">GoCart, </t>
    </r>
    <r>
      <rPr>
        <sz val="10"/>
        <color rgb="FF000000"/>
        <rFont val="WenQuanYi Zen Hei"/>
        <family val="2"/>
      </rPr>
      <t xml:space="preserve">국내 첫 </t>
    </r>
    <r>
      <rPr>
        <sz val="10"/>
        <color rgb="FF000000"/>
        <rFont val="Arial"/>
        <family val="0"/>
        <charset val="1"/>
      </rPr>
      <t xml:space="preserve">ISO 13482 </t>
    </r>
    <r>
      <rPr>
        <sz val="10"/>
        <color rgb="FF000000"/>
        <rFont val="WenQuanYi Zen Hei"/>
        <family val="2"/>
      </rPr>
      <t xml:space="preserve">인증 </t>
    </r>
    <r>
      <rPr>
        <sz val="10"/>
        <color rgb="FF000000"/>
        <rFont val="Arial"/>
        <family val="0"/>
        <charset val="1"/>
      </rPr>
      <t xml:space="preserve">AMR</t>
    </r>
  </si>
  <si>
    <t xml:space="preserve">회사 발표</t>
  </si>
  <si>
    <t xml:space="preserve">https://yujinrobot.com/blog/yujin-robots-gocart-becomes-koreas-first-iso-13482-safety-certified-autonomous-mobile-robot</t>
  </si>
  <si>
    <t xml:space="preserve">가정용 로봇 인증 동향</t>
  </si>
  <si>
    <r>
      <rPr>
        <sz val="10"/>
        <color rgb="FF000000"/>
        <rFont val="WenQuanYi Zen Hei"/>
        <family val="2"/>
      </rPr>
      <t xml:space="preserve">반려로봇 </t>
    </r>
    <r>
      <rPr>
        <sz val="10"/>
        <color rgb="FF000000"/>
        <rFont val="Arial"/>
        <family val="0"/>
        <charset val="1"/>
      </rPr>
      <t xml:space="preserve">KS </t>
    </r>
    <r>
      <rPr>
        <sz val="10"/>
        <color rgb="FF000000"/>
        <rFont val="WenQuanYi Zen Hei"/>
        <family val="2"/>
      </rPr>
      <t xml:space="preserve">인증 도입 </t>
    </r>
    <r>
      <rPr>
        <sz val="10"/>
        <color rgb="FF000000"/>
        <rFont val="Arial"/>
        <family val="0"/>
        <charset val="1"/>
      </rPr>
      <t xml:space="preserve">(2026.4, </t>
    </r>
    <r>
      <rPr>
        <sz val="10"/>
        <color rgb="FF000000"/>
        <rFont val="WenQuanYi Zen Hei"/>
        <family val="2"/>
      </rPr>
      <t xml:space="preserve">정부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</si>
  <si>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https://news.mtn.co.kr/news-detail/2026042014042480949</t>
  </si>
  <si>
    <r>
      <rPr>
        <sz val="10"/>
        <color rgb="FF000000"/>
        <rFont val="Arial"/>
        <family val="0"/>
        <charset val="1"/>
      </rPr>
      <t xml:space="preserve">2026 TIPS </t>
    </r>
    <r>
      <rPr>
        <sz val="10"/>
        <color rgb="FF000000"/>
        <rFont val="WenQuanYi Zen Hei"/>
        <family val="2"/>
      </rPr>
      <t xml:space="preserve">일반트랙 규정 </t>
    </r>
    <r>
      <rPr>
        <sz val="10"/>
        <color rgb="FF000000"/>
        <rFont val="Arial"/>
        <family val="0"/>
        <charset val="1"/>
      </rPr>
      <t xml:space="preserve">(R&amp;D)</t>
    </r>
  </si>
  <si>
    <r>
      <rPr>
        <sz val="10"/>
        <color rgb="FF000000"/>
        <rFont val="WenQuanYi Zen Hei"/>
        <family val="2"/>
      </rPr>
      <t xml:space="preserve">정부지원 최대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억원 </t>
    </r>
    <r>
      <rPr>
        <sz val="10"/>
        <color rgb="FF000000"/>
        <rFont val="Arial"/>
        <family val="0"/>
        <charset val="1"/>
      </rPr>
      <t xml:space="preserve">· 24</t>
    </r>
    <r>
      <rPr>
        <sz val="10"/>
        <color rgb="FF000000"/>
        <rFont val="WenQuanYi Zen Hei"/>
        <family val="2"/>
      </rPr>
      <t xml:space="preserve">개월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정부 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WenQuanYi Zen Hei"/>
        <family val="2"/>
      </rPr>
      <t xml:space="preserve">이내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기관부담 </t>
    </r>
    <r>
      <rPr>
        <sz val="10"/>
        <color rgb="FF000000"/>
        <rFont val="Arial"/>
        <family val="0"/>
        <charset val="1"/>
      </rPr>
      <t xml:space="preserve">25% </t>
    </r>
    <r>
      <rPr>
        <sz val="10"/>
        <color rgb="FF000000"/>
        <rFont val="WenQuanYi Zen Hei"/>
        <family val="2"/>
      </rPr>
      <t xml:space="preserve">이상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그중 현금 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운영사 투자 수도권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억원 이상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비수도권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억원 이상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대표 포함 창업팀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인 이상 지분 </t>
    </r>
    <r>
      <rPr>
        <sz val="10"/>
        <color rgb="FF000000"/>
        <rFont val="Arial"/>
        <family val="0"/>
        <charset val="1"/>
      </rPr>
      <t xml:space="preserve">60% </t>
    </r>
    <r>
      <rPr>
        <sz val="10"/>
        <color rgb="FF000000"/>
        <rFont val="WenQuanYi Zen Hei"/>
        <family val="2"/>
      </rPr>
      <t xml:space="preserve">이상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운영사 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WenQuanYi Zen Hei"/>
        <family val="2"/>
      </rPr>
      <t xml:space="preserve">이하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정부지원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억원당 청년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 신규 채용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업력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년 이내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신산업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분기별 접수 연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회 </t>
    </r>
    <r>
      <rPr>
        <sz val="10"/>
        <color rgb="FF000000"/>
        <rFont val="Arial"/>
        <family val="0"/>
        <charset val="1"/>
      </rPr>
      <t xml:space="preserve">(IRIS)</t>
    </r>
  </si>
  <si>
    <r>
      <rPr>
        <sz val="10"/>
        <color rgb="FF000000"/>
        <rFont val="WenQuanYi Zen Hei"/>
        <family val="2"/>
      </rPr>
      <t xml:space="preserve">중소벤처기업부 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(2026.1.26) — </t>
    </r>
    <r>
      <rPr>
        <sz val="10"/>
        <color rgb="FF000000"/>
        <rFont val="WenQuanYi Zen Hei"/>
        <family val="2"/>
      </rPr>
      <t xml:space="preserve">공고 사본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운용사 정리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집계 사이트 기준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원문 대조 필요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</si>
  <si>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https://www.kakao.vc/blog/2026-tips-what-changed , https://app.rndcircle.io/gov-grant/de57c07b-23b7-4eca-a812-90fb66a88b56 , https://grant-documents.thevc.kr/288079_(%EC%B5%9C%EC%A2%85)_2026%EB%85%84_%ED%8C%81%EC%8A%A4_%EC%B0%BD%EC%97%85%EA%B8%B0%EC%97%85_%EC%A7%80%EC%9B%90%EA%B3%84%ED%9A%8D_%EA%B3%B5%EA%B3%A0.pdf</t>
  </si>
  <si>
    <r>
      <rPr>
        <sz val="10"/>
        <color rgb="FF000000"/>
        <rFont val="Arial"/>
        <family val="0"/>
        <charset val="1"/>
      </rPr>
      <t xml:space="preserve">2026 TIPS </t>
    </r>
    <r>
      <rPr>
        <sz val="10"/>
        <color rgb="FF000000"/>
        <rFont val="WenQuanYi Zen Hei"/>
        <family val="2"/>
      </rPr>
      <t xml:space="preserve">비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WenQuanYi Zen Hei"/>
        <family val="2"/>
      </rPr>
      <t xml:space="preserve">연계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창업사업화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해외마케팅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</si>
  <si>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각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개월 최대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합산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억원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정부 </t>
    </r>
    <r>
      <rPr>
        <sz val="10"/>
        <color rgb="FF000000"/>
        <rFont val="Arial"/>
        <family val="0"/>
        <charset val="1"/>
      </rPr>
      <t xml:space="preserve">70% </t>
    </r>
    <r>
      <rPr>
        <sz val="10"/>
        <color rgb="FF000000"/>
        <rFont val="WenQuanYi Zen Hei"/>
        <family val="2"/>
      </rPr>
      <t xml:space="preserve">이내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기업 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현금 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WenQuanYi Zen Hei"/>
        <family val="2"/>
      </rPr>
      <t xml:space="preserve">이상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현물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이하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</si>
  <si>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 사본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집계 사이트</t>
    </r>
  </si>
  <si>
    <t xml:space="preserve">https://app.rndcircle.io/gov-grant/4a69b298-641c-445a-9dac-66cf5dd0ee72</t>
  </si>
  <si>
    <r>
      <rPr>
        <sz val="10"/>
        <color rgb="FF000000"/>
        <rFont val="Arial"/>
        <family val="0"/>
        <charset val="1"/>
      </rPr>
      <t xml:space="preserve">TIPS </t>
    </r>
    <r>
      <rPr>
        <sz val="10"/>
        <color rgb="FF000000"/>
        <rFont val="WenQuanYi Zen Hei"/>
        <family val="2"/>
      </rPr>
      <t xml:space="preserve">일반트랙 선정평가 배점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비공식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</si>
  <si>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기술성 </t>
    </r>
    <r>
      <rPr>
        <sz val="10"/>
        <color rgb="FF000000"/>
        <rFont val="Arial"/>
        <family val="0"/>
        <charset val="1"/>
      </rPr>
      <t xml:space="preserve">40 · </t>
    </r>
    <r>
      <rPr>
        <sz val="10"/>
        <color rgb="FF000000"/>
        <rFont val="WenQuanYi Zen Hei"/>
        <family val="2"/>
      </rPr>
      <t xml:space="preserve">사업성 </t>
    </r>
    <r>
      <rPr>
        <sz val="10"/>
        <color rgb="FF000000"/>
        <rFont val="Arial"/>
        <family val="0"/>
        <charset val="1"/>
      </rPr>
      <t xml:space="preserve">40 (</t>
    </r>
    <r>
      <rPr>
        <sz val="10"/>
        <color rgb="FF000000"/>
        <rFont val="WenQuanYi Zen Hei"/>
        <family val="2"/>
      </rPr>
      <t xml:space="preserve">글로벌 성장 가능성 포함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사업수행 역량 </t>
    </r>
    <r>
      <rPr>
        <sz val="10"/>
        <color rgb="FF000000"/>
        <rFont val="Arial"/>
        <family val="0"/>
        <charset val="1"/>
      </rPr>
      <t xml:space="preserve">20 (</t>
    </r>
    <r>
      <rPr>
        <sz val="10"/>
        <color rgb="FF000000"/>
        <rFont val="WenQuanYi Zen Hei"/>
        <family val="2"/>
      </rPr>
      <t xml:space="preserve">창업기업 전문성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운영사 지원계획</t>
    </r>
    <r>
      <rPr>
        <sz val="10"/>
        <color rgb="FF000000"/>
        <rFont val="Arial"/>
        <family val="0"/>
        <charset val="1"/>
      </rPr>
      <t xml:space="preserve">) / 2026 </t>
    </r>
    <r>
      <rPr>
        <sz val="10"/>
        <color rgb="FF000000"/>
        <rFont val="WenQuanYi Zen Hei"/>
        <family val="2"/>
      </rPr>
      <t xml:space="preserve">가점 최대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점</t>
    </r>
  </si>
  <si>
    <r>
      <rPr>
        <sz val="10"/>
        <color rgb="FF000000"/>
        <rFont val="WenQuanYi Zen Hei"/>
        <family val="2"/>
      </rPr>
      <t xml:space="preserve">특허사무소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운용사 블로그 정리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적용 연도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원문 미확인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</si>
  <si>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https://www.pinepat.com/ko/insights/columns/tips-application-guide , https://www.kakao.vc/blog/2026-tips-what-changed</t>
  </si>
  <si>
    <r>
      <rPr>
        <sz val="10"/>
        <color rgb="FF000000"/>
        <rFont val="WenQuanYi Zen Hei"/>
        <family val="2"/>
      </rPr>
      <t xml:space="preserve">식기세척기 적재 연구 </t>
    </r>
    <r>
      <rPr>
        <sz val="10"/>
        <color rgb="FF000000"/>
        <rFont val="Arial"/>
        <family val="0"/>
        <charset val="1"/>
      </rPr>
      <t xml:space="preserve">(Voysey · Thuruthel · Iida)</t>
    </r>
  </si>
  <si>
    <r>
      <rPr>
        <sz val="10"/>
        <color rgb="FF000000"/>
        <rFont val="WenQuanYi Zen Hei"/>
        <family val="2"/>
      </rPr>
      <t xml:space="preserve">트레이 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개 실험에서 식기 </t>
    </r>
    <r>
      <rPr>
        <sz val="10"/>
        <color rgb="FF000000"/>
        <rFont val="Arial"/>
        <family val="0"/>
        <charset val="1"/>
      </rPr>
      <t xml:space="preserve">58.7% </t>
    </r>
    <r>
      <rPr>
        <sz val="10"/>
        <color rgb="FF000000"/>
        <rFont val="WenQuanYi Zen Hei"/>
        <family val="2"/>
      </rPr>
      <t xml:space="preserve">정리 </t>
    </r>
    <r>
      <rPr>
        <sz val="10"/>
        <color rgb="FF000000"/>
        <rFont val="Arial"/>
        <family val="0"/>
        <charset val="1"/>
      </rPr>
      <t xml:space="preserve">(one-shot, preprint </t>
    </r>
    <r>
      <rPr>
        <sz val="10"/>
        <color rgb="FF000000"/>
        <rFont val="WenQuanYi Zen Hei"/>
        <family val="2"/>
      </rPr>
      <t xml:space="preserve">기준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비교 대회 시스템 </t>
    </r>
    <r>
      <rPr>
        <sz val="10"/>
        <color rgb="FF000000"/>
        <rFont val="Arial"/>
        <family val="0"/>
        <charset val="1"/>
      </rPr>
      <t xml:space="preserve">49~79%</t>
    </r>
  </si>
  <si>
    <r>
      <rPr>
        <sz val="10"/>
        <color rgb="FF000000"/>
        <rFont val="Arial"/>
        <family val="0"/>
        <charset val="1"/>
      </rPr>
      <t xml:space="preserve">Engineering Reports 2021 (DOI 10.1002/eng2.12321), </t>
    </r>
    <r>
      <rPr>
        <sz val="10"/>
        <color rgb="FF000000"/>
        <rFont val="WenQuanYi Zen Hei"/>
        <family val="2"/>
      </rPr>
      <t xml:space="preserve">실험실 주방</t>
    </r>
  </si>
  <si>
    <t xml:space="preserve">https://onlinelibrary.wiley.com/doi/10.1002/eng2.12321 , https://www.researchgate.net/publication/342426874</t>
  </si>
  <si>
    <r>
      <rPr>
        <sz val="10"/>
        <color rgb="FF000000"/>
        <rFont val="Arial"/>
        <family val="0"/>
        <charset val="1"/>
      </rPr>
      <t xml:space="preserve">Dobb-E (</t>
    </r>
    <r>
      <rPr>
        <sz val="10"/>
        <color rgb="FF000000"/>
        <rFont val="WenQuanYi Zen Hei"/>
        <family val="2"/>
      </rPr>
      <t xml:space="preserve">가정 조작 학습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</si>
  <si>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뉴욕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가구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단순 가사 과제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WenQuanYi Zen Hei"/>
        <family val="2"/>
      </rPr>
      <t xml:space="preserve">종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과제당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회 평균 성공률 </t>
    </r>
    <r>
      <rPr>
        <sz val="10"/>
        <color rgb="FF000000"/>
        <rFont val="Arial"/>
        <family val="0"/>
        <charset val="1"/>
      </rPr>
      <t xml:space="preserve">81%</t>
    </r>
  </si>
  <si>
    <t xml:space="preserve">Shafiullah et al., arXiv 2311.16098 (2023)</t>
  </si>
  <si>
    <t xml:space="preserve">https://arxiv.org/abs/2311.16098</t>
  </si>
  <si>
    <r>
      <rPr>
        <sz val="10"/>
        <color rgb="FF000000"/>
        <rFont val="Arial"/>
        <family val="0"/>
        <charset val="1"/>
      </rPr>
      <t xml:space="preserve">TidyBot · π0.5 (</t>
    </r>
    <r>
      <rPr>
        <sz val="10"/>
        <color rgb="FF000000"/>
        <rFont val="WenQuanYi Zen Hei"/>
        <family val="2"/>
      </rPr>
      <t xml:space="preserve">가정 정리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</si>
  <si>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TidyBot </t>
    </r>
    <r>
      <rPr>
        <sz val="10"/>
        <color rgb="FF000000"/>
        <rFont val="WenQuanYi Zen Hei"/>
        <family val="2"/>
      </rPr>
      <t xml:space="preserve">실물 정리 </t>
    </r>
    <r>
      <rPr>
        <sz val="10"/>
        <color rgb="FF000000"/>
        <rFont val="Arial"/>
        <family val="0"/>
        <charset val="1"/>
      </rPr>
      <t xml:space="preserve">85% (</t>
    </r>
    <r>
      <rPr>
        <sz val="10"/>
        <color rgb="FF000000"/>
        <rFont val="WenQuanYi Zen Hei"/>
        <family val="2"/>
      </rPr>
      <t xml:space="preserve">배치 기준</t>
    </r>
    <r>
      <rPr>
        <sz val="10"/>
        <color rgb="FF000000"/>
        <rFont val="Arial"/>
        <family val="0"/>
        <charset val="1"/>
      </rPr>
      <t xml:space="preserve">, 2023) · π0.5 </t>
    </r>
    <r>
      <rPr>
        <sz val="10"/>
        <color rgb="FF000000"/>
        <rFont val="WenQuanYi Zen Hei"/>
        <family val="2"/>
      </rPr>
      <t xml:space="preserve">처음 보는 가정 주방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침실 정리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부분 점수 기준 자체 보고 </t>
    </r>
    <r>
      <rPr>
        <sz val="10"/>
        <color rgb="FF000000"/>
        <rFont val="Arial"/>
        <family val="0"/>
        <charset val="1"/>
      </rPr>
      <t xml:space="preserve">(2025)</t>
    </r>
  </si>
  <si>
    <t xml:space="preserve">arXiv 2305.05658 · arXiv 2504.16054</t>
  </si>
  <si>
    <t xml:space="preserve">https://arxiv.org/abs/2305.05658 , https://arxiv.org/abs/2504.16054</t>
  </si>
  <si>
    <t xml:space="preserve">협동로봇 안전 기준 값</t>
  </si>
  <si>
    <r>
      <rPr>
        <sz val="10"/>
        <color rgb="FF000000"/>
        <rFont val="Arial"/>
        <family val="0"/>
        <charset val="1"/>
      </rPr>
      <t xml:space="preserve">ISO 10218-2:2025 </t>
    </r>
    <r>
      <rPr>
        <sz val="10"/>
        <color rgb="FF000000"/>
        <rFont val="WenQuanYi Zen Hei"/>
        <family val="2"/>
      </rPr>
      <t xml:space="preserve">감속 기능 접근 가능한 가동부 </t>
    </r>
    <r>
      <rPr>
        <sz val="10"/>
        <color rgb="FF000000"/>
        <rFont val="Arial"/>
        <family val="0"/>
        <charset val="1"/>
      </rPr>
      <t xml:space="preserve">250mm/s </t>
    </r>
    <r>
      <rPr>
        <sz val="10"/>
        <color rgb="FF000000"/>
        <rFont val="WenQuanYi Zen Hei"/>
        <family val="2"/>
      </rPr>
      <t xml:space="preserve">이하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부속서 </t>
    </r>
    <r>
      <rPr>
        <sz val="10"/>
        <color rgb="FF000000"/>
        <rFont val="Arial"/>
        <family val="0"/>
        <charset val="1"/>
      </rPr>
      <t xml:space="preserve">M (</t>
    </r>
    <r>
      <rPr>
        <sz val="10"/>
        <color rgb="FF000000"/>
        <rFont val="WenQuanYi Zen Hei"/>
        <family val="2"/>
      </rPr>
      <t xml:space="preserve">구 </t>
    </r>
    <r>
      <rPr>
        <sz val="10"/>
        <color rgb="FF000000"/>
        <rFont val="Arial"/>
        <family val="0"/>
        <charset val="1"/>
      </rPr>
      <t xml:space="preserve">ISO/TS 15066) </t>
    </r>
    <r>
      <rPr>
        <sz val="10"/>
        <color rgb="FF000000"/>
        <rFont val="WenQuanYi Zen Hei"/>
        <family val="2"/>
      </rPr>
      <t xml:space="preserve">손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손가락 준정적 접촉력 </t>
    </r>
    <r>
      <rPr>
        <sz val="10"/>
        <color rgb="FF000000"/>
        <rFont val="Arial"/>
        <family val="0"/>
        <charset val="1"/>
      </rPr>
      <t xml:space="preserve">140N</t>
    </r>
  </si>
  <si>
    <r>
      <rPr>
        <sz val="10"/>
        <color rgb="FF000000"/>
        <rFont val="WenQuanYi Zen Hei"/>
        <family val="2"/>
      </rPr>
      <t xml:space="preserve">표준 원문 미확인 — 제조사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인증 컨설팅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연구 정리</t>
    </r>
  </si>
  <si>
    <t xml:space="preserve">https://blog.robotiq.com/compliance-of-the-hand-e-gripper-with-iso-10218-22025 , https://www.ibf-solutions.com/en/seminars-and-news/news/new-standards-for-industrial-robots-en-iso-10218-1-and-2</t>
  </si>
  <si>
    <r>
      <rPr>
        <sz val="10"/>
        <color rgb="FF000000"/>
        <rFont val="WenQuanYi Zen Hei"/>
        <family val="2"/>
      </rPr>
      <t xml:space="preserve">무급 가사노동 가치 </t>
    </r>
    <r>
      <rPr>
        <sz val="10"/>
        <color rgb="FF000000"/>
        <rFont val="Arial"/>
        <family val="0"/>
        <charset val="1"/>
      </rPr>
      <t xml:space="preserve">(2024 </t>
    </r>
    <r>
      <rPr>
        <sz val="10"/>
        <color rgb="FF000000"/>
        <rFont val="WenQuanYi Zen Hei"/>
        <family val="2"/>
      </rPr>
      <t xml:space="preserve">가계생산 위성계정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</si>
  <si>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582.4</t>
    </r>
    <r>
      <rPr>
        <sz val="10"/>
        <color rgb="FF000000"/>
        <rFont val="WenQuanYi Zen Hei"/>
        <family val="2"/>
      </rPr>
      <t xml:space="preserve">조원 </t>
    </r>
    <r>
      <rPr>
        <sz val="10"/>
        <color rgb="FF000000"/>
        <rFont val="Arial"/>
        <family val="0"/>
        <charset val="1"/>
      </rPr>
      <t xml:space="preserve">(GDP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22%) · </t>
    </r>
    <r>
      <rPr>
        <sz val="10"/>
        <color rgb="FF000000"/>
        <rFont val="WenQuanYi Zen Hei"/>
        <family val="2"/>
      </rPr>
      <t xml:space="preserve">그중 가정관리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음식 준비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청소 등</t>
    </r>
    <r>
      <rPr>
        <sz val="10"/>
        <color rgb="FF000000"/>
        <rFont val="Arial"/>
        <family val="0"/>
        <charset val="1"/>
      </rPr>
      <t xml:space="preserve">) 459.5</t>
    </r>
    <r>
      <rPr>
        <sz val="10"/>
        <color rgb="FF000000"/>
        <rFont val="WenQuanYi Zen Hei"/>
        <family val="2"/>
      </rPr>
      <t xml:space="preserve">조원 </t>
    </r>
    <r>
      <rPr>
        <sz val="10"/>
        <color rgb="FF000000"/>
        <rFont val="Arial"/>
        <family val="0"/>
        <charset val="1"/>
      </rPr>
      <t xml:space="preserve">(78.9%) · 1</t>
    </r>
    <r>
      <rPr>
        <sz val="10"/>
        <color rgb="FF000000"/>
        <rFont val="WenQuanYi Zen Hei"/>
        <family val="2"/>
      </rPr>
      <t xml:space="preserve">인당 하루 가사노동 </t>
    </r>
    <r>
      <rPr>
        <sz val="10"/>
        <color rgb="FF000000"/>
        <rFont val="Arial"/>
        <family val="0"/>
        <charset val="1"/>
      </rPr>
      <t xml:space="preserve">132</t>
    </r>
    <r>
      <rPr>
        <sz val="10"/>
        <color rgb="FF000000"/>
        <rFont val="WenQuanYi Zen Hei"/>
        <family val="2"/>
      </rPr>
      <t xml:space="preserve">분 </t>
    </r>
    <r>
      <rPr>
        <sz val="10"/>
        <color rgb="FF000000"/>
        <rFont val="Arial"/>
        <family val="0"/>
        <charset val="1"/>
      </rPr>
      <t xml:space="preserve">(2019 137</t>
    </r>
    <r>
      <rPr>
        <sz val="10"/>
        <color rgb="FF000000"/>
        <rFont val="WenQuanYi Zen Hei"/>
        <family val="2"/>
      </rPr>
      <t xml:space="preserve">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</si>
  <si>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국가데이터처 </t>
    </r>
    <r>
      <rPr>
        <sz val="10"/>
        <color rgb="FF000000"/>
        <rFont val="Arial"/>
        <family val="0"/>
        <charset val="1"/>
      </rPr>
      <t xml:space="preserve">2026.4 </t>
    </r>
    <r>
      <rPr>
        <sz val="10"/>
        <color rgb="FF000000"/>
        <rFont val="WenQuanYi Zen Hei"/>
        <family val="2"/>
      </rPr>
      <t xml:space="preserve">발표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보도 인용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</si>
  <si>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https://biz.sbs.co.kr/amp/article/20000307502 , https://magazine.hankyung.com/business/article/202604295997b</t>
  </si>
  <si>
    <r>
      <rPr>
        <sz val="10"/>
        <color rgb="FF000000"/>
        <rFont val="WenQuanYi Zen Hei"/>
        <family val="2"/>
      </rPr>
      <t xml:space="preserve">가전 구독 </t>
    </r>
    <r>
      <rPr>
        <sz val="10"/>
        <color rgb="FF000000"/>
        <rFont val="Arial"/>
        <family val="0"/>
        <charset val="1"/>
      </rPr>
      <t xml:space="preserve">· Care </t>
    </r>
    <r>
      <rPr>
        <sz val="10"/>
        <color rgb="FF000000"/>
        <rFont val="WenQuanYi Zen Hei"/>
        <family val="2"/>
      </rPr>
      <t xml:space="preserve">사례 </t>
    </r>
    <r>
      <rPr>
        <sz val="10"/>
        <color rgb="FF000000"/>
        <rFont val="Arial"/>
        <family val="0"/>
        <charset val="1"/>
      </rPr>
      <t xml:space="preserve">(LG</t>
    </r>
    <r>
      <rPr>
        <sz val="10"/>
        <color rgb="FF000000"/>
        <rFont val="WenQuanYi Zen Hei"/>
        <family val="2"/>
      </rPr>
      <t xml:space="preserve">전자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</si>
  <si>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구독 매출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조원 이상 </t>
    </r>
    <r>
      <rPr>
        <sz val="10"/>
        <color rgb="FF000000"/>
        <rFont val="Arial"/>
        <family val="0"/>
        <charset val="1"/>
      </rPr>
      <t xml:space="preserve">(4Q </t>
    </r>
    <r>
      <rPr>
        <sz val="10"/>
        <color rgb="FF000000"/>
        <rFont val="WenQuanYi Zen Hei"/>
        <family val="2"/>
      </rPr>
      <t xml:space="preserve">실적 발표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케어매니저 약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Arial"/>
        <family val="0"/>
        <charset val="1"/>
      </rPr>
      <t xml:space="preserve">· LH </t>
    </r>
    <r>
      <rPr>
        <sz val="10"/>
        <color rgb="FF000000"/>
        <rFont val="WenQuanYi Zen Hei"/>
        <family val="2"/>
      </rPr>
      <t xml:space="preserve">공공주택 </t>
    </r>
    <r>
      <rPr>
        <sz val="10"/>
        <color rgb="FF000000"/>
        <rFont val="Arial"/>
        <family val="0"/>
        <charset val="1"/>
      </rPr>
      <t xml:space="preserve">5,400</t>
    </r>
    <r>
      <rPr>
        <sz val="10"/>
        <color rgb="FF000000"/>
        <rFont val="WenQuanYi Zen Hei"/>
        <family val="2"/>
      </rPr>
      <t xml:space="preserve">여 세대 구독형 가전 </t>
    </r>
    <r>
      <rPr>
        <sz val="10"/>
        <color rgb="FF000000"/>
        <rFont val="Arial"/>
        <family val="0"/>
        <charset val="1"/>
      </rPr>
      <t xml:space="preserve">+ 6</t>
    </r>
    <r>
      <rPr>
        <sz val="10"/>
        <color rgb="FF000000"/>
        <rFont val="WenQuanYi Zen Hei"/>
        <family val="2"/>
      </rPr>
      <t xml:space="preserve">년 정기관리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압구정 재건축 빌트인 가전 </t>
    </r>
    <r>
      <rPr>
        <sz val="10"/>
        <color rgb="FF000000"/>
        <rFont val="Arial"/>
        <family val="0"/>
        <charset val="1"/>
      </rPr>
      <t xml:space="preserve">+ Care </t>
    </r>
    <r>
      <rPr>
        <sz val="10"/>
        <color rgb="FF000000"/>
        <rFont val="WenQuanYi Zen Hei"/>
        <family val="2"/>
      </rPr>
      <t xml:space="preserve">구독 선택지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조합원 약 </t>
    </r>
    <r>
      <rPr>
        <sz val="10"/>
        <color rgb="FF000000"/>
        <rFont val="Arial"/>
        <family val="0"/>
        <charset val="1"/>
      </rPr>
      <t xml:space="preserve">7,000</t>
    </r>
    <r>
      <rPr>
        <sz val="10"/>
        <color rgb="FF000000"/>
        <rFont val="WenQuanYi Zen Hei"/>
        <family val="2"/>
      </rPr>
      <t xml:space="preserve">세대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</si>
  <si>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회사 실적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발표 인용 보도 </t>
    </r>
    <r>
      <rPr>
        <sz val="10"/>
        <color rgb="FF000000"/>
        <rFont val="Arial"/>
        <family val="0"/>
        <charset val="1"/>
      </rPr>
      <t xml:space="preserve">(2026)</t>
    </r>
  </si>
  <si>
    <t xml:space="preserve">https://files-scs.pstatic.net/2026/01/30/SgKPKOCyxu/2025.4Q%20Earnings%20Release%20of%20LGE_KR.pdf , https://www.heraldk.com/article/2026053118272769372 , https://www.smarttoday.co.kr/ko-kr/articles/73353</t>
  </si>
  <si>
    <r>
      <rPr>
        <sz val="10"/>
        <color rgb="FF000000"/>
        <rFont val="Arial"/>
        <family val="0"/>
        <charset val="1"/>
      </rPr>
      <t xml:space="preserve">Robot Hand Benchmark (</t>
    </r>
    <r>
      <rPr>
        <sz val="10"/>
        <color rgb="FF000000"/>
        <rFont val="WenQuanYi Zen Hei"/>
        <family val="2"/>
      </rPr>
      <t xml:space="preserve">상용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</si>
  <si>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Robotiq 2F-85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$5,825 (2026 </t>
    </r>
    <r>
      <rPr>
        <sz val="10"/>
        <color rgb="FF000000"/>
        <rFont val="WenQuanYi Zen Hei"/>
        <family val="2"/>
      </rPr>
      <t xml:space="preserve">판매가</t>
    </r>
    <r>
      <rPr>
        <sz val="10"/>
        <color rgb="FF000000"/>
        <rFont val="Arial"/>
        <family val="0"/>
        <charset val="1"/>
      </rPr>
      <t xml:space="preserve">) · Inspire RH56 </t>
    </r>
    <r>
      <rPr>
        <sz val="10"/>
        <color rgb="FF000000"/>
        <rFont val="WenQuanYi Zen Hei"/>
        <family val="2"/>
      </rPr>
      <t xml:space="preserve">계열 </t>
    </r>
    <r>
      <rPr>
        <sz val="10"/>
        <color rgb="FF000000"/>
        <rFont val="Arial"/>
        <family val="0"/>
        <charset val="1"/>
      </rPr>
      <t xml:space="preserve">$4,500~9,899 (</t>
    </r>
    <r>
      <rPr>
        <sz val="10"/>
        <color rgb="FF000000"/>
        <rFont val="WenQuanYi Zen Hei"/>
        <family val="2"/>
      </rPr>
      <t xml:space="preserve">판매가</t>
    </r>
    <r>
      <rPr>
        <sz val="10"/>
        <color rgb="FF000000"/>
        <rFont val="Arial"/>
        <family val="0"/>
        <charset val="1"/>
      </rPr>
      <t xml:space="preserve">) · Inspire RH56E2 </t>
    </r>
    <r>
      <rPr>
        <sz val="10"/>
        <color rgb="FF000000"/>
        <rFont val="WenQuanYi Zen Hei"/>
        <family val="2"/>
      </rPr>
      <t xml:space="preserve">엄지 파지력 </t>
    </r>
    <r>
      <rPr>
        <sz val="10"/>
        <color rgb="FF000000"/>
        <rFont val="Arial"/>
        <family val="0"/>
        <charset val="1"/>
      </rPr>
      <t xml:space="preserve">30N</t>
    </r>
  </si>
  <si>
    <r>
      <rPr>
        <sz val="10"/>
        <color rgb="FF000000"/>
        <rFont val="WenQuanYi Zen Hei"/>
        <family val="2"/>
      </rPr>
      <t xml:space="preserve">판매처 공개가 </t>
    </r>
    <r>
      <rPr>
        <sz val="10"/>
        <color rgb="FF000000"/>
        <rFont val="Arial"/>
        <family val="0"/>
        <charset val="1"/>
      </rPr>
      <t xml:space="preserve">(2026)</t>
    </r>
  </si>
  <si>
    <t xml:space="preserve">https://www.roboticscenter.ai/ko/blog/robotiq-gripper-guide , https://www.knoxlabs.com/collections/robotic-hands</t>
  </si>
  <si>
    <r>
      <rPr>
        <sz val="10"/>
        <color rgb="FF000000"/>
        <rFont val="WenQuanYi Zen Hei"/>
        <family val="2"/>
      </rPr>
      <t xml:space="preserve">식품 직접 접촉용 </t>
    </r>
    <r>
      <rPr>
        <sz val="10"/>
        <color rgb="FF000000"/>
        <rFont val="Arial"/>
        <family val="0"/>
        <charset val="1"/>
      </rPr>
      <t xml:space="preserve">Finger Gripper (</t>
    </r>
    <r>
      <rPr>
        <sz val="10"/>
        <color rgb="FF000000"/>
        <rFont val="WenQuanYi Zen Hei"/>
        <family val="2"/>
      </rPr>
      <t xml:space="preserve">상용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</si>
  <si>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Schmalz OFG: </t>
    </r>
    <r>
      <rPr>
        <sz val="10"/>
        <color rgb="FF000000"/>
        <rFont val="WenQuanYi Zen Hei"/>
        <family val="2"/>
      </rPr>
      <t xml:space="preserve">실리콘 파지부 </t>
    </r>
    <r>
      <rPr>
        <sz val="10"/>
        <color rgb="FF000000"/>
        <rFont val="Arial"/>
        <family val="0"/>
        <charset val="1"/>
      </rPr>
      <t xml:space="preserve">· IP68 · </t>
    </r>
    <r>
      <rPr>
        <sz val="10"/>
        <color rgb="FF000000"/>
        <rFont val="WenQuanYi Zen Hei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80°C · </t>
    </r>
    <r>
      <rPr>
        <sz val="10"/>
        <color rgb="FF000000"/>
        <rFont val="WenQuanYi Zen Hei"/>
        <family val="2"/>
      </rPr>
      <t xml:space="preserve">마모부품 </t>
    </r>
    <r>
      <rPr>
        <sz val="10"/>
        <color rgb="FF000000"/>
        <rFont val="Arial"/>
        <family val="0"/>
        <charset val="1"/>
      </rPr>
      <t xml:space="preserve">Kit </t>
    </r>
    <r>
      <rPr>
        <sz val="10"/>
        <color rgb="FF000000"/>
        <rFont val="WenQuanYi Zen Hei"/>
        <family val="2"/>
      </rPr>
      <t xml:space="preserve">별도</t>
    </r>
  </si>
  <si>
    <t xml:space="preserve">제조사 제품 페이지</t>
  </si>
  <si>
    <t xml:space="preserve">https://www.schmalz.com/en/vacuum-technology-for-automation/vacuum-components/area-gripping-systems-and-end-effectors/finger-grippers/finger-grippers-ofg-312389/10.01.51.00001/</t>
  </si>
  <si>
    <r>
      <rPr>
        <sz val="10"/>
        <color rgb="FF000000"/>
        <rFont val="WenQuanYi Zen Hei"/>
        <family val="2"/>
      </rPr>
      <t xml:space="preserve">미끄럼 감지 연구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촉각 센서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</si>
  <si>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GelSight Mini </t>
    </r>
    <r>
      <rPr>
        <sz val="10"/>
        <color rgb="FF000000"/>
        <rFont val="WenQuanYi Zen Hei"/>
        <family val="2"/>
      </rPr>
      <t xml:space="preserve">기반 실시간 미끄럼 감지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일상 물체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종 평균 정확도 </t>
    </r>
    <r>
      <rPr>
        <sz val="10"/>
        <color rgb="FF000000"/>
        <rFont val="Arial"/>
        <family val="0"/>
        <charset val="1"/>
      </rPr>
      <t xml:space="preserve">99% (</t>
    </r>
    <r>
      <rPr>
        <sz val="10"/>
        <color rgb="FF000000"/>
        <rFont val="WenQuanYi Zen Hei"/>
        <family val="2"/>
      </rPr>
      <t xml:space="preserve">실험실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센서 가격 비공개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견적</t>
    </r>
    <r>
      <rPr>
        <sz val="10"/>
        <color rgb="FF000000"/>
        <rFont val="Arial"/>
        <family val="0"/>
        <charset val="1"/>
      </rPr>
      <t xml:space="preserve">)</t>
    </r>
  </si>
  <si>
    <t xml:space="preserve">Hu et al., arXiv 2303.00935</t>
  </si>
  <si>
    <t xml:space="preserve">https://arxiv.org/abs/2303.00935 , https://www.roboticscenter.ai/guides/best-tactile-sensors-robot-learning/</t>
  </si>
  <si>
    <r>
      <rPr>
        <sz val="10"/>
        <color rgb="FF000000"/>
        <rFont val="Arial"/>
        <family val="0"/>
        <charset val="1"/>
      </rPr>
      <t xml:space="preserve">Figure Helix </t>
    </r>
    <r>
      <rPr>
        <sz val="10"/>
        <color rgb="FF000000"/>
        <rFont val="WenQuanYi Zen Hei"/>
        <family val="2"/>
      </rPr>
      <t xml:space="preserve">식기세척기 시연</t>
    </r>
  </si>
  <si>
    <r>
      <rPr>
        <sz val="10"/>
        <color rgb="FF000000"/>
        <rFont val="Arial"/>
        <family val="0"/>
        <charset val="1"/>
      </rPr>
      <t xml:space="preserve">2025.9 </t>
    </r>
    <r>
      <rPr>
        <sz val="10"/>
        <color rgb="FF000000"/>
        <rFont val="WenQuanYi Zen Hei"/>
        <family val="2"/>
      </rPr>
      <t xml:space="preserve">식세기 적재 시연 </t>
    </r>
    <r>
      <rPr>
        <sz val="10"/>
        <color rgb="FF000000"/>
        <rFont val="Arial"/>
        <family val="0"/>
        <charset val="1"/>
      </rPr>
      <t xml:space="preserve">· 2026.1 Helix 02 </t>
    </r>
    <r>
      <rPr>
        <sz val="10"/>
        <color rgb="FF000000"/>
        <rFont val="WenQuanYi Zen Hei"/>
        <family val="2"/>
      </rPr>
      <t xml:space="preserve">식세기 인출 → 수납 → 적재 약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분 연속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회사 발표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독립 검증 없음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</si>
  <si>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https://futurism.com/future-society/figure-robot-loading-dishwasher , https://interestingengineering.com/innovation/humanoid-robot-tackles-dishwasher-ai</t>
  </si>
  <si>
    <r>
      <rPr>
        <sz val="10"/>
        <color rgb="FF000000"/>
        <rFont val="Arial"/>
        <family val="0"/>
        <charset val="1"/>
      </rPr>
      <t xml:space="preserve">Physical Intelligence openpi (</t>
    </r>
    <r>
      <rPr>
        <sz val="10"/>
        <color rgb="FF000000"/>
        <rFont val="WenQuanYi Zen Hei"/>
        <family val="2"/>
      </rPr>
      <t xml:space="preserve">공개 모델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</si>
  <si>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π0 · π0-FAST · π0.5 </t>
    </r>
    <r>
      <rPr>
        <sz val="10"/>
        <color rgb="FF000000"/>
        <rFont val="WenQuanYi Zen Hei"/>
        <family val="2"/>
      </rPr>
      <t xml:space="preserve">코드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가중치 공개 </t>
    </r>
    <r>
      <rPr>
        <sz val="10"/>
        <color rgb="FF000000"/>
        <rFont val="Arial"/>
        <family val="0"/>
        <charset val="1"/>
      </rPr>
      <t xml:space="preserve">(2025.2~), </t>
    </r>
    <r>
      <rPr>
        <sz val="10"/>
        <color rgb="FF000000"/>
        <rFont val="WenQuanYi Zen Hei"/>
        <family val="2"/>
      </rPr>
      <t xml:space="preserve">테이블 정리 등 </t>
    </r>
    <r>
      <rPr>
        <sz val="10"/>
        <color rgb="FF000000"/>
        <rFont val="Arial"/>
        <family val="0"/>
        <charset val="1"/>
      </rPr>
      <t xml:space="preserve">Fine-tune </t>
    </r>
    <r>
      <rPr>
        <sz val="10"/>
        <color rgb="FF000000"/>
        <rFont val="WenQuanYi Zen Hei"/>
        <family val="2"/>
      </rPr>
      <t xml:space="preserve">예시</t>
    </r>
  </si>
  <si>
    <r>
      <rPr>
        <sz val="10"/>
        <color rgb="FF000000"/>
        <rFont val="WenQuanYi Zen Hei"/>
        <family val="2"/>
      </rPr>
      <t xml:space="preserve">회사 공개 </t>
    </r>
    <r>
      <rPr>
        <sz val="10"/>
        <color rgb="FF000000"/>
        <rFont val="Arial"/>
        <family val="0"/>
        <charset val="1"/>
      </rPr>
      <t xml:space="preserve">Repository</t>
    </r>
  </si>
  <si>
    <t xml:space="preserve">https://github.com/Physical-Intelligence/openpi , https://pi.website/blog/openpi</t>
  </si>
  <si>
    <t xml:space="preserve">가정용 로봇 안전 표준 동향</t>
  </si>
  <si>
    <r>
      <rPr>
        <sz val="10"/>
        <color rgb="FF000000"/>
        <rFont val="Arial"/>
        <family val="0"/>
        <charset val="1"/>
      </rPr>
      <t xml:space="preserve">IEC 63682 (</t>
    </r>
    <r>
      <rPr>
        <sz val="10"/>
        <color rgb="FF000000"/>
        <rFont val="WenQuanYi Zen Hei"/>
        <family val="2"/>
      </rPr>
      <t xml:space="preserve">구 </t>
    </r>
    <r>
      <rPr>
        <sz val="10"/>
        <color rgb="FF000000"/>
        <rFont val="Arial"/>
        <family val="0"/>
        <charset val="1"/>
      </rPr>
      <t xml:space="preserve">IEC 60335-2-123) Robots for household and similar use — Safety: 2026 CDV </t>
    </r>
    <r>
      <rPr>
        <sz val="10"/>
        <color rgb="FF000000"/>
        <rFont val="WenQuanYi Zen Hei"/>
        <family val="2"/>
      </rPr>
      <t xml:space="preserve">단계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독일 의견수렴 </t>
    </r>
    <r>
      <rPr>
        <sz val="10"/>
        <color rgb="FF000000"/>
        <rFont val="Arial"/>
        <family val="0"/>
        <charset val="1"/>
      </rPr>
      <t xml:space="preserve">2026.5.15~7.15) · ISO 13482 </t>
    </r>
    <r>
      <rPr>
        <sz val="10"/>
        <color rgb="FF000000"/>
        <rFont val="WenQuanYi Zen Hei"/>
        <family val="2"/>
      </rPr>
      <t xml:space="preserve">개정 </t>
    </r>
    <r>
      <rPr>
        <sz val="10"/>
        <color rgb="FF000000"/>
        <rFont val="Arial"/>
        <family val="0"/>
        <charset val="1"/>
      </rPr>
      <t xml:space="preserve">FDIS (2025.7)</t>
    </r>
  </si>
  <si>
    <r>
      <rPr>
        <sz val="10"/>
        <color rgb="FF000000"/>
        <rFont val="WenQuanYi Zen Hei"/>
        <family val="2"/>
      </rPr>
      <t xml:space="preserve">표준기관 프로젝트 페이지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발행 전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</si>
  <si>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https://www.vde-verlag.de/standards/1701976/e-din-iec-63682-vde-0700-123-2026-06.html , https://knowledge.bsigroup.com/products/bs-en-iec-63682-robots-for-household-and-similar-use-safety-particular-requirements , https://din.de/en/getting-involved/standards-committees/nam/projects/wdc-proj:din21:348357354</t>
  </si>
  <si>
    <t xml:space="preserve">식품 접촉 부품 규정</t>
  </si>
  <si>
    <r>
      <rPr>
        <sz val="10"/>
        <color rgb="FF000000"/>
        <rFont val="WenQuanYi Zen Hei"/>
        <family val="2"/>
      </rPr>
      <t xml:space="preserve">식품위생법상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기구</t>
    </r>
    <r>
      <rPr>
        <sz val="10"/>
        <color rgb="FF000000"/>
        <rFont val="Arial"/>
        <family val="0"/>
        <charset val="1"/>
      </rPr>
      <t xml:space="preserve">" (</t>
    </r>
    <r>
      <rPr>
        <sz val="10"/>
        <color rgb="FF000000"/>
        <rFont val="WenQuanYi Zen Hei"/>
        <family val="2"/>
      </rPr>
      <t xml:space="preserve">식품에 직접 닿는 기계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기구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「기구 및 용기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포장의 기준 및 규격」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식약처 고시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고무제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실리콘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재질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용출 규격</t>
    </r>
  </si>
  <si>
    <r>
      <rPr>
        <sz val="10"/>
        <color rgb="FF000000"/>
        <rFont val="WenQuanYi Zen Hei"/>
        <family val="2"/>
      </rPr>
      <t xml:space="preserve">법령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고시</t>
    </r>
  </si>
  <si>
    <t xml:space="preserve">https://www.mfds.go.kr/brd/m_207/view.do?seq=14529 , https://food.chemlinked.com/database/view/6844</t>
  </si>
  <si>
    <t xml:space="preserve">선행기술 — 식기 조작 로봇</t>
  </si>
  <si>
    <r>
      <rPr>
        <sz val="10"/>
        <color rgb="FF000000"/>
        <rFont val="Arial"/>
        <family val="0"/>
        <charset val="1"/>
      </rPr>
      <t xml:space="preserve">US 11,731,282 (Dishcare, </t>
    </r>
    <r>
      <rPr>
        <sz val="10"/>
        <color rgb="FF000000"/>
        <rFont val="WenQuanYi Zen Hei"/>
        <family val="2"/>
      </rPr>
      <t xml:space="preserve">쌓인 식기 사이에 넣는 </t>
    </r>
    <r>
      <rPr>
        <sz val="10"/>
        <color rgb="FF000000"/>
        <rFont val="Arial"/>
        <family val="0"/>
        <charset val="1"/>
      </rPr>
      <t xml:space="preserve">Tapered Finger · </t>
    </r>
    <r>
      <rPr>
        <sz val="10"/>
        <color rgb="FF000000"/>
        <rFont val="WenQuanYi Zen Hei"/>
        <family val="2"/>
      </rPr>
      <t xml:space="preserve">수납 </t>
    </r>
    <r>
      <rPr>
        <sz val="10"/>
        <color rgb="FF000000"/>
        <rFont val="Arial"/>
        <family val="0"/>
        <charset val="1"/>
      </rPr>
      <t xml:space="preserve">Module </t>
    </r>
    <r>
      <rPr>
        <sz val="10"/>
        <color rgb="FF000000"/>
        <rFont val="WenQuanYi Zen Hei"/>
        <family val="2"/>
      </rPr>
      <t xml:space="preserve">통합</t>
    </r>
    <r>
      <rPr>
        <sz val="10"/>
        <color rgb="FF000000"/>
        <rFont val="Arial"/>
        <family val="0"/>
        <charset val="1"/>
      </rPr>
      <t xml:space="preserve">) · US 10,507,584 (Dishcraft, </t>
    </r>
    <r>
      <rPr>
        <sz val="10"/>
        <color rgb="FF000000"/>
        <rFont val="WenQuanYi Zen Hei"/>
        <family val="2"/>
      </rPr>
      <t xml:space="preserve">식기 인식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랙 적재</t>
    </r>
    <r>
      <rPr>
        <sz val="10"/>
        <color rgb="FF000000"/>
        <rFont val="Arial"/>
        <family val="0"/>
        <charset val="1"/>
      </rPr>
      <t xml:space="preserve">) · WO 2018/031489 (Dishcraft, </t>
    </r>
    <r>
      <rPr>
        <sz val="10"/>
        <color rgb="FF000000"/>
        <rFont val="WenQuanYi Zen Hei"/>
        <family val="2"/>
      </rPr>
      <t xml:space="preserve">자성 식기 </t>
    </r>
    <r>
      <rPr>
        <sz val="10"/>
        <color rgb="FF000000"/>
        <rFont val="Arial"/>
        <family val="0"/>
        <charset val="1"/>
      </rPr>
      <t xml:space="preserve">Gripper) · US 2023/0165427 (</t>
    </r>
    <r>
      <rPr>
        <sz val="10"/>
        <color rgb="FF000000"/>
        <rFont val="WenQuanYi Zen Hei"/>
        <family val="2"/>
      </rPr>
      <t xml:space="preserve">가정용 식세기 맞춤 </t>
    </r>
    <r>
      <rPr>
        <sz val="10"/>
        <color rgb="FF000000"/>
        <rFont val="Arial"/>
        <family val="0"/>
        <charset val="1"/>
      </rPr>
      <t xml:space="preserve">Routine)</t>
    </r>
  </si>
  <si>
    <r>
      <rPr>
        <sz val="10"/>
        <color rgb="FF000000"/>
        <rFont val="WenQuanYi Zen Hei"/>
        <family val="2"/>
      </rPr>
      <t xml:space="preserve">특허 공보 검색 결과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청구항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권리상태 미확인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</si>
  <si>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https://patents.justia.com/patent/11731282 , https://image-ppubs.uspto.gov/dirsearch-public/print/downloadPdf/10507584 , https://brevets-patents.ic.gc.ca/opic-cipo/cpd/eng/patent/3032941/summary.html , https://patents.justia.com/patent/20230165427</t>
  </si>
  <si>
    <r>
      <rPr>
        <sz val="10"/>
        <color rgb="FF000000"/>
        <rFont val="WenQuanYi Zen Hei"/>
        <family val="2"/>
      </rPr>
      <t xml:space="preserve">선행기술 — 주방 로봇팔 </t>
    </r>
    <r>
      <rPr>
        <sz val="10"/>
        <color rgb="FF000000"/>
        <rFont val="Arial"/>
        <family val="0"/>
        <charset val="1"/>
      </rPr>
      <t xml:space="preserve">· Rail · </t>
    </r>
    <r>
      <rPr>
        <sz val="10"/>
        <color rgb="FF000000"/>
        <rFont val="WenQuanYi Zen Hei"/>
        <family val="2"/>
      </rPr>
      <t xml:space="preserve">수납장 </t>
    </r>
    <r>
      <rPr>
        <sz val="10"/>
        <color rgb="FF000000"/>
        <rFont val="Arial"/>
        <family val="0"/>
        <charset val="1"/>
      </rPr>
      <t xml:space="preserve">· Skill Library</t>
    </r>
  </si>
  <si>
    <r>
      <rPr>
        <sz val="10"/>
        <color rgb="FF000000"/>
        <rFont val="Arial"/>
        <family val="0"/>
        <charset val="1"/>
      </rPr>
      <t xml:space="preserve">US 7,751,938 </t>
    </r>
    <r>
      <rPr>
        <sz val="10"/>
        <color rgb="FF000000"/>
        <rFont val="WenQuanYi Zen Hei"/>
        <family val="2"/>
      </rPr>
      <t xml:space="preserve">외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주방 벽 </t>
    </r>
    <r>
      <rPr>
        <sz val="10"/>
        <color rgb="FF000000"/>
        <rFont val="Arial"/>
        <family val="0"/>
        <charset val="1"/>
      </rPr>
      <t xml:space="preserve">Rail </t>
    </r>
    <r>
      <rPr>
        <sz val="10"/>
        <color rgb="FF000000"/>
        <rFont val="WenQuanYi Zen Hei"/>
        <family val="2"/>
      </rPr>
      <t xml:space="preserve">이동 로봇팔 제어</t>
    </r>
    <r>
      <rPr>
        <sz val="10"/>
        <color rgb="FF000000"/>
        <rFont val="Arial"/>
        <family val="0"/>
        <charset val="1"/>
      </rPr>
      <t xml:space="preserve">) · EP 3,881,977 (</t>
    </r>
    <r>
      <rPr>
        <sz val="10"/>
        <color rgb="FF000000"/>
        <rFont val="WenQuanYi Zen Hei"/>
        <family val="2"/>
      </rPr>
      <t xml:space="preserve">가전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주변 고정 모듈형 </t>
    </r>
    <r>
      <rPr>
        <sz val="10"/>
        <color rgb="FF000000"/>
        <rFont val="Arial"/>
        <family val="0"/>
        <charset val="1"/>
      </rPr>
      <t xml:space="preserve">Arm, </t>
    </r>
    <r>
      <rPr>
        <sz val="10"/>
        <color rgb="FF000000"/>
        <rFont val="WenQuanYi Zen Hei"/>
        <family val="2"/>
      </rPr>
      <t xml:space="preserve">교체형 </t>
    </r>
    <r>
      <rPr>
        <sz val="10"/>
        <color rgb="FF000000"/>
        <rFont val="Arial"/>
        <family val="0"/>
        <charset val="1"/>
      </rPr>
      <t xml:space="preserve">End piece) · US 12,275,130 (</t>
    </r>
    <r>
      <rPr>
        <sz val="10"/>
        <color rgb="FF000000"/>
        <rFont val="WenQuanYi Zen Hei"/>
        <family val="2"/>
      </rPr>
      <t xml:space="preserve">수납장 내 </t>
    </r>
    <r>
      <rPr>
        <sz val="10"/>
        <color rgb="FF000000"/>
        <rFont val="Arial"/>
        <family val="0"/>
        <charset val="1"/>
      </rPr>
      <t xml:space="preserve">Gantry </t>
    </r>
    <r>
      <rPr>
        <sz val="10"/>
        <color rgb="FF000000"/>
        <rFont val="WenQuanYi Zen Hei"/>
        <family val="2"/>
      </rPr>
      <t xml:space="preserve">조리 로봇</t>
    </r>
    <r>
      <rPr>
        <sz val="10"/>
        <color rgb="FF000000"/>
        <rFont val="Arial"/>
        <family val="0"/>
        <charset val="1"/>
      </rPr>
      <t xml:space="preserve">) · US 10,518,409 B2 (Minimanipulation Library · Instrumented Environment)</t>
    </r>
  </si>
  <si>
    <t xml:space="preserve">https://image-ppubs.uspto.gov/dirsearch-public/print/downloadPdf/7751938 , https://data.epo.org/publication-server/rest/v1.2/patents/EP3881977NWA1/document.html , https://image-ppubs.uspto.gov/dirsearch-public/print/downloadPdf/12275130 , https://patents.google.com/patent/US10518409</t>
  </si>
  <si>
    <r>
      <rPr>
        <sz val="10"/>
        <color rgb="FF000000"/>
        <rFont val="WenQuanYi Zen Hei"/>
        <family val="2"/>
      </rPr>
      <t xml:space="preserve">주방가구사 동향 </t>
    </r>
    <r>
      <rPr>
        <sz val="10"/>
        <color rgb="FF000000"/>
        <rFont val="Arial"/>
        <family val="0"/>
        <charset val="1"/>
      </rPr>
      <t xml:space="preserve">(2026)</t>
    </r>
  </si>
  <si>
    <r>
      <rPr>
        <sz val="10"/>
        <color rgb="FF000000"/>
        <rFont val="WenQuanYi Zen Hei"/>
        <family val="2"/>
      </rPr>
      <t xml:space="preserve">한샘 키친바흐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가게나우 빌트인장 협업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코리아빌드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신제품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로봇 제품 없음</t>
    </r>
    <r>
      <rPr>
        <sz val="10"/>
        <color rgb="FF000000"/>
        <rFont val="Arial"/>
        <family val="0"/>
        <charset val="1"/>
      </rPr>
      <t xml:space="preserve">) — </t>
    </r>
    <r>
      <rPr>
        <sz val="10"/>
        <color rgb="FF000000"/>
        <rFont val="WenQuanYi Zen Hei"/>
        <family val="2"/>
      </rPr>
      <t xml:space="preserve">가구사의 가정용 주방 로봇 협업 보도 확인 안 됨</t>
    </r>
  </si>
  <si>
    <r>
      <rPr>
        <sz val="10"/>
        <color rgb="FF000000"/>
        <rFont val="WenQuanYi Zen Hei"/>
        <family val="2"/>
      </rPr>
      <t xml:space="preserve">보도 </t>
    </r>
    <r>
      <rPr>
        <sz val="10"/>
        <color rgb="FF000000"/>
        <rFont val="Arial"/>
        <family val="0"/>
        <charset val="1"/>
      </rPr>
      <t xml:space="preserve">(2026.6~8)</t>
    </r>
  </si>
  <si>
    <t xml:space="preserve">https://www.hankyung.com/amp/202606170891P</t>
  </si>
  <si>
    <r>
      <rPr>
        <sz val="10"/>
        <color rgb="FF000000"/>
        <rFont val="Arial"/>
        <family val="0"/>
        <charset val="1"/>
      </rPr>
      <t xml:space="preserve">2026 TIPS </t>
    </r>
    <r>
      <rPr>
        <sz val="10"/>
        <color rgb="FF000000"/>
        <rFont val="WenQuanYi Zen Hei"/>
        <family val="2"/>
      </rPr>
      <t xml:space="preserve">접수 방식</t>
    </r>
  </si>
  <si>
    <r>
      <rPr>
        <sz val="10"/>
        <color rgb="FF000000"/>
        <rFont val="WenQuanYi Zen Hei"/>
        <family val="2"/>
      </rPr>
      <t xml:space="preserve">공고 접수 기간 </t>
    </r>
    <r>
      <rPr>
        <sz val="10"/>
        <color rgb="FF000000"/>
        <rFont val="Arial"/>
        <family val="0"/>
        <charset val="1"/>
      </rPr>
      <t xml:space="preserve">2026.1.26~12.31 · </t>
    </r>
    <r>
      <rPr>
        <sz val="10"/>
        <color rgb="FF000000"/>
        <rFont val="WenQuanYi Zen Hei"/>
        <family val="2"/>
      </rPr>
      <t xml:space="preserve">일반트랙 분기 단위 평가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운용사 해설</t>
    </r>
    <r>
      <rPr>
        <sz val="10"/>
        <color rgb="FF000000"/>
        <rFont val="Arial"/>
        <family val="0"/>
        <charset val="1"/>
      </rPr>
      <t xml:space="preserve">) — </t>
    </r>
    <r>
      <rPr>
        <sz val="10"/>
        <color rgb="FF000000"/>
        <rFont val="WenQuanYi Zen Hei"/>
        <family val="2"/>
      </rPr>
      <t xml:space="preserve">남은 차수 일정은 운영사 확인</t>
    </r>
  </si>
  <si>
    <r>
      <rPr>
        <sz val="10"/>
        <color rgb="FF000000"/>
        <rFont val="WenQuanYi Zen Hei"/>
        <family val="2"/>
      </rPr>
      <t xml:space="preserve">공고 요약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운용사 해설</t>
    </r>
  </si>
  <si>
    <t xml:space="preserve">https://www.venturesquare.net/announcement/1035119 , https://zuzu.network/resource/blog/2026-different-tips-required/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</si>
</sst>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.0%;\(0.0%\);\-"/>
    <numFmt numFmtId="167" formatCode="#,##0;\(#,##0\);\-"/>
    <numFmt numFmtId="168" formatCode="0.00%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4"/>
      <name val="WenQuanYi Zen Hei"/>
      <family val="2"/>
    </font>
    <font>
      <sz val="11"/>
      <color theme="1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171A"/>
        <bgColor rgb="FF000000"/>
      </patternFill>
    </fill>
    <fill>
      <patternFill patternType="solid">
        <fgColor rgb="FFF4F5F6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5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7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25.3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5" t="s">
        <v>3</v>
      </c>
    </row>
    <row r="7" customFormat="false" ht="26.8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</row>
    <row r="9" customFormat="false" ht="26.8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2" t="s">
        <v>8</v>
      </c>
    </row>
    <row r="12" customFormat="false" ht="26.8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2" t="s">
        <v>11</v>
      </c>
    </row>
    <row r="15" customFormat="false" ht="15" hidden="false" customHeight="false" outlineLevel="0" collapsed="false">
      <c r="B15" s="2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2" t="s">
        <v>15</v>
      </c>
    </row>
    <row r="19" customFormat="false" ht="15" hidden="false" customHeight="false" outlineLevel="0" collapsed="false">
      <c r="B19" s="2" t="s">
        <v>16</v>
      </c>
    </row>
    <row r="20" customFormat="false" ht="15" hidden="false" customHeight="false" outlineLevel="0" collapsed="false">
      <c r="B20" s="2" t="s">
        <v>17</v>
      </c>
    </row>
    <row r="21" customFormat="false" ht="15" hidden="false" customHeight="false" outlineLevel="0" collapsed="false">
      <c r="B21" s="2"/>
    </row>
    <row r="22" customFormat="false" ht="26.85" hidden="false" customHeight="false" outlineLevel="0" collapsed="false">
      <c r="B22" s="2" t="s">
        <v>18</v>
      </c>
    </row>
    <row r="23" customFormat="false" ht="15" hidden="false" customHeight="false" outlineLevel="0" collapsed="false">
      <c r="B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9.4" hidden="false" customHeight="false" outlineLevel="0" collapsed="false">
      <c r="A1" s="6" t="s">
        <v>20</v>
      </c>
    </row>
    <row r="2" customFormat="false" ht="15" hidden="false" customHeight="false" outlineLevel="0" collapsed="false">
      <c r="A2" s="7" t="s">
        <v>21</v>
      </c>
    </row>
    <row r="4" customFormat="false" ht="15" hidden="false" customHeight="false" outlineLevel="0" collapsed="false">
      <c r="A4" s="8" t="s">
        <v>22</v>
      </c>
      <c r="B4" s="9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</row>
    <row r="5" customFormat="false" ht="15" hidden="false" customHeight="false" outlineLevel="0" collapsed="false">
      <c r="A5" s="10" t="s">
        <v>29</v>
      </c>
      <c r="B5" s="10" t="s">
        <v>30</v>
      </c>
      <c r="C5" s="11" t="n">
        <f aca="false">FM_Conservative!$C$42/10000</f>
        <v>0</v>
      </c>
      <c r="D5" s="11" t="n">
        <f aca="false">FM_Conservative!$D$42/10000</f>
        <v>0.14508</v>
      </c>
      <c r="E5" s="11" t="n">
        <f aca="false">FM_Conservative!$E$42/10000</f>
        <v>3.609345</v>
      </c>
      <c r="F5" s="11" t="n">
        <f aca="false">FM_Conservative!$F$42/10000</f>
        <v>15.3286454375</v>
      </c>
      <c r="G5" s="11" t="n">
        <f aca="false">FM_Conservative!$G$42/10000</f>
        <v>33.985162790625</v>
      </c>
    </row>
    <row r="6" customFormat="false" ht="15" hidden="false" customHeight="false" outlineLevel="0" collapsed="false">
      <c r="A6" s="10" t="s">
        <v>31</v>
      </c>
      <c r="B6" s="10" t="s">
        <v>30</v>
      </c>
      <c r="C6" s="11" t="n">
        <f aca="false">FM_Conservative!$C$60/10000</f>
        <v>0</v>
      </c>
      <c r="D6" s="11" t="n">
        <f aca="false">FM_Conservative!$D$60/10000</f>
        <v>-0.34295685</v>
      </c>
      <c r="E6" s="11" t="n">
        <f aca="false">FM_Conservative!$E$60/10000</f>
        <v>0.114802799999999</v>
      </c>
      <c r="F6" s="11" t="n">
        <f aca="false">FM_Conservative!$F$60/10000</f>
        <v>0.946923971874997</v>
      </c>
      <c r="G6" s="11" t="n">
        <f aca="false">FM_Conservative!$G$60/10000</f>
        <v>4.41505433984376</v>
      </c>
    </row>
    <row r="7" customFormat="false" ht="15" hidden="false" customHeight="false" outlineLevel="0" collapsed="false">
      <c r="A7" s="10" t="s">
        <v>32</v>
      </c>
      <c r="B7" s="12" t="s">
        <v>33</v>
      </c>
      <c r="C7" s="13" t="n">
        <f aca="false">FM_Conservative!$C$61</f>
        <v>0</v>
      </c>
      <c r="D7" s="13" t="n">
        <f aca="false">FM_Conservative!$D$61</f>
        <v>-2.36391542597188</v>
      </c>
      <c r="E7" s="13" t="n">
        <f aca="false">FM_Conservative!$E$61</f>
        <v>0.0318071007343435</v>
      </c>
      <c r="F7" s="13" t="n">
        <f aca="false">FM_Conservative!$F$61</f>
        <v>0.0617747977625239</v>
      </c>
      <c r="G7" s="13" t="n">
        <f aca="false">FM_Conservative!$G$61</f>
        <v>0.129911231175908</v>
      </c>
    </row>
    <row r="8" customFormat="false" ht="15" hidden="false" customHeight="false" outlineLevel="0" collapsed="false">
      <c r="A8" s="12" t="s">
        <v>34</v>
      </c>
      <c r="B8" s="10" t="s">
        <v>30</v>
      </c>
      <c r="C8" s="11" t="n">
        <f aca="false">FM_Conservative!$C$66/10000</f>
        <v>0</v>
      </c>
      <c r="D8" s="11" t="n">
        <f aca="false">FM_Conservative!$D$66/10000</f>
        <v>-0.39695685</v>
      </c>
      <c r="E8" s="11" t="n">
        <f aca="false">FM_Conservative!$E$66/10000</f>
        <v>-0.416497200000001</v>
      </c>
      <c r="F8" s="11" t="n">
        <f aca="false">FM_Conservative!$F$66/10000</f>
        <v>-1.098076028125</v>
      </c>
      <c r="G8" s="11" t="n">
        <f aca="false">FM_Conservative!$G$66/10000</f>
        <v>-0.0232456601562444</v>
      </c>
    </row>
    <row r="9" customFormat="false" ht="15" hidden="false" customHeight="false" outlineLevel="0" collapsed="false">
      <c r="A9" s="12" t="s">
        <v>35</v>
      </c>
      <c r="B9" s="10" t="s">
        <v>30</v>
      </c>
      <c r="C9" s="11" t="n">
        <f aca="false">FM_Conservative!$C$69/10000</f>
        <v>9.216775</v>
      </c>
      <c r="D9" s="11" t="n">
        <f aca="false">FM_Conservative!$D$69/10000</f>
        <v>13.8166</v>
      </c>
      <c r="E9" s="11" t="n">
        <f aca="false">FM_Conservative!$E$69/10000</f>
        <v>30.5</v>
      </c>
      <c r="F9" s="11" t="n">
        <f aca="false">FM_Conservative!$F$69/10000</f>
        <v>43.9</v>
      </c>
      <c r="G9" s="11" t="n">
        <f aca="false">FM_Conservative!$G$69/10000</f>
        <v>56.7</v>
      </c>
    </row>
    <row r="10" customFormat="false" ht="15" hidden="false" customHeight="false" outlineLevel="0" collapsed="false">
      <c r="A10" s="10" t="s">
        <v>36</v>
      </c>
      <c r="B10" s="10" t="s">
        <v>30</v>
      </c>
      <c r="C10" s="11" t="n">
        <f aca="false">FM_Conservative!$C$70/10000</f>
        <v>-9.216775</v>
      </c>
      <c r="D10" s="11" t="n">
        <f aca="false">FM_Conservative!$D$70/10000</f>
        <v>-14.21355685</v>
      </c>
      <c r="E10" s="11" t="n">
        <f aca="false">FM_Conservative!$E$70/10000</f>
        <v>-30.9164972</v>
      </c>
      <c r="F10" s="11" t="n">
        <f aca="false">FM_Conservative!$F$70/10000</f>
        <v>-44.998076028125</v>
      </c>
      <c r="G10" s="11" t="n">
        <f aca="false">FM_Conservative!$G$70/10000</f>
        <v>-56.7232456601562</v>
      </c>
    </row>
    <row r="11" customFormat="false" ht="15" hidden="false" customHeight="false" outlineLevel="0" collapsed="false">
      <c r="A11" s="10" t="s">
        <v>37</v>
      </c>
      <c r="B11" s="10" t="s">
        <v>30</v>
      </c>
      <c r="C11" s="11" t="n">
        <f aca="false">FM_Conservative!$C$72/10000</f>
        <v>-9.216775</v>
      </c>
      <c r="D11" s="11" t="n">
        <f aca="false">FM_Conservative!$D$72/10000</f>
        <v>-23.56044485</v>
      </c>
      <c r="E11" s="11" t="n">
        <f aca="false">FM_Conservative!$E$72/10000</f>
        <v>-55.2742093</v>
      </c>
      <c r="F11" s="11" t="n">
        <f aca="false">FM_Conservative!$F$72/10000</f>
        <v>-100.095493828125</v>
      </c>
      <c r="G11" s="11" t="n">
        <f aca="false">FM_Conservative!$G$72/10000</f>
        <v>-156.641947988281</v>
      </c>
    </row>
    <row r="12" customFormat="false" ht="15" hidden="false" customHeight="false" outlineLevel="0" collapsed="false">
      <c r="A12" s="10" t="s">
        <v>38</v>
      </c>
      <c r="B12" s="10" t="s">
        <v>39</v>
      </c>
      <c r="C12" s="14" t="n">
        <f aca="false">FM_Conservative!$C$9</f>
        <v>0</v>
      </c>
      <c r="D12" s="14" t="n">
        <f aca="false">FM_Conservative!$D$9</f>
        <v>3</v>
      </c>
      <c r="E12" s="14" t="n">
        <f aca="false">FM_Conservative!$E$9</f>
        <v>30</v>
      </c>
      <c r="F12" s="14" t="n">
        <f aca="false">FM_Conservative!$F$9</f>
        <v>105</v>
      </c>
      <c r="G12" s="14" t="n">
        <f aca="false">FM_Conservative!$G$9</f>
        <v>230</v>
      </c>
    </row>
    <row r="13" customFormat="false" ht="15" hidden="false" customHeight="false" outlineLevel="0" collapsed="false">
      <c r="A13" s="12" t="s">
        <v>40</v>
      </c>
      <c r="B13" s="10" t="s">
        <v>41</v>
      </c>
      <c r="C13" s="14" t="n">
        <f aca="false">FM_Conservative!$C$14</f>
        <v>0</v>
      </c>
      <c r="D13" s="14" t="n">
        <f aca="false">FM_Conservative!$D$14</f>
        <v>3</v>
      </c>
      <c r="E13" s="14" t="n">
        <f aca="false">FM_Conservative!$E$14</f>
        <v>22.5</v>
      </c>
      <c r="F13" s="14" t="n">
        <f aca="false">FM_Conservative!$F$14</f>
        <v>81.625</v>
      </c>
      <c r="G13" s="14" t="n">
        <f aca="false">FM_Conservative!$G$14</f>
        <v>184.04375</v>
      </c>
    </row>
    <row r="14" customFormat="false" ht="15" hidden="false" customHeight="false" outlineLevel="0" collapsed="false">
      <c r="A14" s="12" t="s">
        <v>42</v>
      </c>
      <c r="B14" s="10" t="s">
        <v>41</v>
      </c>
      <c r="C14" s="14" t="n">
        <f aca="false">FM_Conservative!$C$28</f>
        <v>0</v>
      </c>
      <c r="D14" s="14" t="n">
        <f aca="false">FM_Conservative!$D$28</f>
        <v>3</v>
      </c>
      <c r="E14" s="14" t="n">
        <f aca="false">FM_Conservative!$E$28</f>
        <v>25.5</v>
      </c>
      <c r="F14" s="14" t="n">
        <f aca="false">FM_Conservative!$F$28</f>
        <v>107.125</v>
      </c>
      <c r="G14" s="14" t="n">
        <f aca="false">FM_Conservative!$G$28</f>
        <v>291.16875</v>
      </c>
    </row>
    <row r="15" customFormat="false" ht="15" hidden="false" customHeight="false" outlineLevel="0" collapsed="false">
      <c r="A15" s="10" t="s">
        <v>43</v>
      </c>
      <c r="B15" s="10" t="s">
        <v>39</v>
      </c>
      <c r="C15" s="14" t="n">
        <f aca="false">FM_Conservative!$C$29</f>
        <v>0</v>
      </c>
      <c r="D15" s="14" t="n">
        <f aca="false">FM_Conservative!$D$29</f>
        <v>0</v>
      </c>
      <c r="E15" s="14" t="n">
        <f aca="false">FM_Conservative!$E$29</f>
        <v>0</v>
      </c>
      <c r="F15" s="14" t="n">
        <f aca="false">FM_Conservative!$F$29</f>
        <v>48</v>
      </c>
      <c r="G15" s="14" t="n">
        <f aca="false">FM_Conservative!$G$29</f>
        <v>144</v>
      </c>
    </row>
    <row r="16" customFormat="false" ht="15" hidden="false" customHeight="false" outlineLevel="0" collapsed="false">
      <c r="A16" s="12" t="s">
        <v>44</v>
      </c>
      <c r="B16" s="12" t="s">
        <v>33</v>
      </c>
      <c r="C16" s="13" t="n">
        <f aca="false">FM_Conservative!$C$78</f>
        <v>0</v>
      </c>
      <c r="D16" s="13" t="n">
        <f aca="false">FM_Conservative!$D$78</f>
        <v>0.142059553349876</v>
      </c>
      <c r="E16" s="13" t="n">
        <f aca="false">FM_Conservative!$E$78</f>
        <v>0.054745390091554</v>
      </c>
      <c r="F16" s="13" t="n">
        <f aca="false">FM_Conservative!$F$78</f>
        <v>0.0390291947151707</v>
      </c>
      <c r="G16" s="13" t="n">
        <f aca="false">FM_Conservative!$G$78</f>
        <v>0.0414392035371828</v>
      </c>
    </row>
    <row r="18" customFormat="false" ht="15" hidden="false" customHeight="false" outlineLevel="0" collapsed="false">
      <c r="A18" s="8" t="s">
        <v>45</v>
      </c>
      <c r="B18" s="9" t="s">
        <v>23</v>
      </c>
      <c r="C18" s="8" t="s">
        <v>24</v>
      </c>
      <c r="D18" s="8" t="s">
        <v>25</v>
      </c>
      <c r="E18" s="8" t="s">
        <v>26</v>
      </c>
      <c r="F18" s="8" t="s">
        <v>27</v>
      </c>
      <c r="G18" s="8" t="s">
        <v>28</v>
      </c>
    </row>
    <row r="19" customFormat="false" ht="15" hidden="false" customHeight="false" outlineLevel="0" collapsed="false">
      <c r="A19" s="10" t="s">
        <v>29</v>
      </c>
      <c r="B19" s="10" t="s">
        <v>30</v>
      </c>
      <c r="C19" s="11" t="n">
        <f aca="false">FM_Base!$C$42/10000</f>
        <v>0</v>
      </c>
      <c r="D19" s="11" t="n">
        <f aca="false">FM_Base!$D$42/10000</f>
        <v>0.260511</v>
      </c>
      <c r="E19" s="11" t="n">
        <f aca="false">FM_Base!$E$42/10000</f>
        <v>7.4234195</v>
      </c>
      <c r="F19" s="11" t="n">
        <f aca="false">FM_Base!$F$42/10000</f>
        <v>35.918587</v>
      </c>
      <c r="G19" s="11" t="n">
        <f aca="false">FM_Base!$G$42/10000</f>
        <v>91.490638</v>
      </c>
    </row>
    <row r="20" customFormat="false" ht="15" hidden="false" customHeight="false" outlineLevel="0" collapsed="false">
      <c r="A20" s="10" t="s">
        <v>31</v>
      </c>
      <c r="B20" s="10" t="s">
        <v>30</v>
      </c>
      <c r="C20" s="11" t="n">
        <f aca="false">FM_Base!$C$60/10000</f>
        <v>0</v>
      </c>
      <c r="D20" s="11" t="n">
        <f aca="false">FM_Base!$D$60/10000</f>
        <v>-0.21031785</v>
      </c>
      <c r="E20" s="11" t="n">
        <f aca="false">FM_Base!$E$60/10000</f>
        <v>1.725847925</v>
      </c>
      <c r="F20" s="11" t="n">
        <f aca="false">FM_Base!$F$60/10000</f>
        <v>10.248568575</v>
      </c>
      <c r="G20" s="11" t="n">
        <f aca="false">FM_Base!$G$60/10000</f>
        <v>32.04447737</v>
      </c>
    </row>
    <row r="21" customFormat="false" ht="15" hidden="false" customHeight="false" outlineLevel="0" collapsed="false">
      <c r="A21" s="10" t="s">
        <v>32</v>
      </c>
      <c r="B21" s="12" t="s">
        <v>33</v>
      </c>
      <c r="C21" s="13" t="n">
        <f aca="false">FM_Base!$C$61</f>
        <v>0</v>
      </c>
      <c r="D21" s="13" t="n">
        <f aca="false">FM_Base!$D$61</f>
        <v>-0.807328097469972</v>
      </c>
      <c r="E21" s="13" t="n">
        <f aca="false">FM_Base!$E$61</f>
        <v>0.232486918595938</v>
      </c>
      <c r="F21" s="13" t="n">
        <f aca="false">FM_Base!$F$61</f>
        <v>0.285327721132237</v>
      </c>
      <c r="G21" s="13" t="n">
        <f aca="false">FM_Base!$G$61</f>
        <v>0.350248703807268</v>
      </c>
    </row>
    <row r="22" customFormat="false" ht="15" hidden="false" customHeight="false" outlineLevel="0" collapsed="false">
      <c r="A22" s="12" t="s">
        <v>34</v>
      </c>
      <c r="B22" s="10" t="s">
        <v>30</v>
      </c>
      <c r="C22" s="11" t="n">
        <f aca="false">FM_Base!$C$66/10000</f>
        <v>0</v>
      </c>
      <c r="D22" s="11" t="n">
        <f aca="false">FM_Base!$D$66/10000</f>
        <v>-0.25531785</v>
      </c>
      <c r="E22" s="11" t="n">
        <f aca="false">FM_Base!$E$66/10000</f>
        <v>0.718947925000001</v>
      </c>
      <c r="F22" s="11" t="n">
        <f aca="false">FM_Base!$F$66/10000</f>
        <v>6.426718575</v>
      </c>
      <c r="G22" s="11" t="n">
        <f aca="false">FM_Base!$G$66/10000</f>
        <v>23.06917737</v>
      </c>
    </row>
    <row r="23" customFormat="false" ht="15" hidden="false" customHeight="false" outlineLevel="0" collapsed="false">
      <c r="A23" s="12" t="s">
        <v>35</v>
      </c>
      <c r="B23" s="10" t="s">
        <v>30</v>
      </c>
      <c r="C23" s="11" t="n">
        <f aca="false">FM_Base!$C$69/10000</f>
        <v>9.216775</v>
      </c>
      <c r="D23" s="11" t="n">
        <f aca="false">FM_Base!$D$69/10000</f>
        <v>13.8166</v>
      </c>
      <c r="E23" s="11" t="n">
        <f aca="false">FM_Base!$E$69/10000</f>
        <v>30.5</v>
      </c>
      <c r="F23" s="11" t="n">
        <f aca="false">FM_Base!$F$69/10000</f>
        <v>43.9</v>
      </c>
      <c r="G23" s="11" t="n">
        <f aca="false">FM_Base!$G$69/10000</f>
        <v>56.7</v>
      </c>
    </row>
    <row r="24" customFormat="false" ht="15" hidden="false" customHeight="false" outlineLevel="0" collapsed="false">
      <c r="A24" s="10" t="s">
        <v>36</v>
      </c>
      <c r="B24" s="10" t="s">
        <v>30</v>
      </c>
      <c r="C24" s="11" t="n">
        <f aca="false">FM_Base!$C$70/10000</f>
        <v>-9.216775</v>
      </c>
      <c r="D24" s="11" t="n">
        <f aca="false">FM_Base!$D$70/10000</f>
        <v>-14.07191785</v>
      </c>
      <c r="E24" s="11" t="n">
        <f aca="false">FM_Base!$E$70/10000</f>
        <v>-29.781052075</v>
      </c>
      <c r="F24" s="11" t="n">
        <f aca="false">FM_Base!$F$70/10000</f>
        <v>-37.473281425</v>
      </c>
      <c r="G24" s="11" t="n">
        <f aca="false">FM_Base!$G$70/10000</f>
        <v>-33.63082263</v>
      </c>
    </row>
    <row r="25" customFormat="false" ht="15" hidden="false" customHeight="false" outlineLevel="0" collapsed="false">
      <c r="A25" s="10" t="s">
        <v>37</v>
      </c>
      <c r="B25" s="10" t="s">
        <v>30</v>
      </c>
      <c r="C25" s="11" t="n">
        <f aca="false">FM_Base!$C$72/10000</f>
        <v>-9.216775</v>
      </c>
      <c r="D25" s="11" t="n">
        <f aca="false">FM_Base!$D$72/10000</f>
        <v>-23.41386485</v>
      </c>
      <c r="E25" s="11" t="n">
        <f aca="false">FM_Base!$E$72/10000</f>
        <v>-54.548278425</v>
      </c>
      <c r="F25" s="11" t="n">
        <f aca="false">FM_Base!$F$72/10000</f>
        <v>-91.74253885</v>
      </c>
      <c r="G25" s="11" t="n">
        <f aca="false">FM_Base!$G$72/10000</f>
        <v>-125.09434048</v>
      </c>
    </row>
    <row r="26" customFormat="false" ht="15" hidden="false" customHeight="false" outlineLevel="0" collapsed="false">
      <c r="A26" s="10" t="s">
        <v>38</v>
      </c>
      <c r="B26" s="10" t="s">
        <v>39</v>
      </c>
      <c r="C26" s="14" t="n">
        <f aca="false">FM_Base!$C$9</f>
        <v>0</v>
      </c>
      <c r="D26" s="14" t="n">
        <f aca="false">FM_Base!$D$9</f>
        <v>3</v>
      </c>
      <c r="E26" s="14" t="n">
        <f aca="false">FM_Base!$E$9</f>
        <v>50</v>
      </c>
      <c r="F26" s="14" t="n">
        <f aca="false">FM_Base!$F$9</f>
        <v>200</v>
      </c>
      <c r="G26" s="14" t="n">
        <f aca="false">FM_Base!$G$9</f>
        <v>560</v>
      </c>
    </row>
    <row r="27" customFormat="false" ht="15" hidden="false" customHeight="false" outlineLevel="0" collapsed="false">
      <c r="A27" s="12" t="s">
        <v>40</v>
      </c>
      <c r="B27" s="10" t="s">
        <v>41</v>
      </c>
      <c r="C27" s="14" t="n">
        <f aca="false">FM_Base!$C$14</f>
        <v>0</v>
      </c>
      <c r="D27" s="14" t="n">
        <f aca="false">FM_Base!$D$14</f>
        <v>3</v>
      </c>
      <c r="E27" s="14" t="n">
        <f aca="false">FM_Base!$E$14</f>
        <v>42.5</v>
      </c>
      <c r="F27" s="14" t="n">
        <f aca="false">FM_Base!$F$14</f>
        <v>173.75</v>
      </c>
      <c r="G27" s="14" t="n">
        <f aca="false">FM_Base!$G$14</f>
        <v>443.375</v>
      </c>
    </row>
    <row r="28" customFormat="false" ht="15" hidden="false" customHeight="false" outlineLevel="0" collapsed="false">
      <c r="A28" s="12" t="s">
        <v>42</v>
      </c>
      <c r="B28" s="10" t="s">
        <v>41</v>
      </c>
      <c r="C28" s="14" t="n">
        <f aca="false">FM_Base!$C$28</f>
        <v>0</v>
      </c>
      <c r="D28" s="14" t="n">
        <f aca="false">FM_Base!$D$28</f>
        <v>3</v>
      </c>
      <c r="E28" s="14" t="n">
        <f aca="false">FM_Base!$E$28</f>
        <v>45.5</v>
      </c>
      <c r="F28" s="14" t="n">
        <f aca="false">FM_Base!$F$28</f>
        <v>219.25</v>
      </c>
      <c r="G28" s="14" t="n">
        <f aca="false">FM_Base!$G$28</f>
        <v>662.625</v>
      </c>
    </row>
    <row r="29" customFormat="false" ht="15" hidden="false" customHeight="false" outlineLevel="0" collapsed="false">
      <c r="A29" s="10" t="s">
        <v>43</v>
      </c>
      <c r="B29" s="10" t="s">
        <v>39</v>
      </c>
      <c r="C29" s="14" t="n">
        <f aca="false">FM_Base!$C$29</f>
        <v>0</v>
      </c>
      <c r="D29" s="14" t="n">
        <f aca="false">FM_Base!$D$29</f>
        <v>0</v>
      </c>
      <c r="E29" s="14" t="n">
        <f aca="false">FM_Base!$E$29</f>
        <v>80</v>
      </c>
      <c r="F29" s="14" t="n">
        <f aca="false">FM_Base!$F$29</f>
        <v>240</v>
      </c>
      <c r="G29" s="14" t="n">
        <f aca="false">FM_Base!$G$29</f>
        <v>400</v>
      </c>
    </row>
    <row r="30" customFormat="false" ht="15" hidden="false" customHeight="false" outlineLevel="0" collapsed="false">
      <c r="A30" s="12" t="s">
        <v>44</v>
      </c>
      <c r="B30" s="12" t="s">
        <v>33</v>
      </c>
      <c r="C30" s="13" t="n">
        <f aca="false">FM_Base!$C$78</f>
        <v>0</v>
      </c>
      <c r="D30" s="13" t="n">
        <f aca="false">FM_Base!$D$78</f>
        <v>0.0942800879809298</v>
      </c>
      <c r="E30" s="13" t="n">
        <f aca="false">FM_Base!$E$78</f>
        <v>0.0539737111717855</v>
      </c>
      <c r="F30" s="13" t="n">
        <f aca="false">FM_Base!$F$78</f>
        <v>0.0390465526942917</v>
      </c>
      <c r="G30" s="13" t="n">
        <f aca="false">FM_Base!$G$78</f>
        <v>0.0412258683779208</v>
      </c>
    </row>
    <row r="32" customFormat="false" ht="15" hidden="false" customHeight="false" outlineLevel="0" collapsed="false">
      <c r="A32" s="8" t="s">
        <v>46</v>
      </c>
      <c r="B32" s="9" t="s">
        <v>23</v>
      </c>
      <c r="C32" s="8" t="s">
        <v>24</v>
      </c>
      <c r="D32" s="8" t="s">
        <v>25</v>
      </c>
      <c r="E32" s="8" t="s">
        <v>26</v>
      </c>
      <c r="F32" s="8" t="s">
        <v>27</v>
      </c>
      <c r="G32" s="8" t="s">
        <v>28</v>
      </c>
    </row>
    <row r="33" customFormat="false" ht="15" hidden="false" customHeight="false" outlineLevel="0" collapsed="false">
      <c r="A33" s="10" t="s">
        <v>29</v>
      </c>
      <c r="B33" s="10" t="s">
        <v>30</v>
      </c>
      <c r="C33" s="11" t="n">
        <f aca="false">FM_Upside!$C$42/10000</f>
        <v>0</v>
      </c>
      <c r="D33" s="11" t="n">
        <f aca="false">FM_Upside!$D$42/10000</f>
        <v>0.307701</v>
      </c>
      <c r="E33" s="11" t="n">
        <f aca="false">FM_Upside!$E$42/10000</f>
        <v>9.63462875</v>
      </c>
      <c r="F33" s="11" t="n">
        <f aca="false">FM_Upside!$F$42/10000</f>
        <v>55.237646665</v>
      </c>
      <c r="G33" s="11" t="n">
        <f aca="false">FM_Upside!$G$42/10000</f>
        <v>154.7756736452</v>
      </c>
    </row>
    <row r="34" customFormat="false" ht="15" hidden="false" customHeight="false" outlineLevel="0" collapsed="false">
      <c r="A34" s="10" t="s">
        <v>31</v>
      </c>
      <c r="B34" s="10" t="s">
        <v>30</v>
      </c>
      <c r="C34" s="11" t="n">
        <f aca="false">FM_Upside!$C$60/10000</f>
        <v>0</v>
      </c>
      <c r="D34" s="11" t="n">
        <f aca="false">FM_Upside!$D$60/10000</f>
        <v>-0.14501076</v>
      </c>
      <c r="E34" s="11" t="n">
        <f aca="false">FM_Upside!$E$60/10000</f>
        <v>2.728188275</v>
      </c>
      <c r="F34" s="11" t="n">
        <f aca="false">FM_Upside!$F$60/10000</f>
        <v>18.5491475216</v>
      </c>
      <c r="G34" s="11" t="n">
        <f aca="false">FM_Upside!$G$60/10000</f>
        <v>63.360873812288</v>
      </c>
    </row>
    <row r="35" customFormat="false" ht="15" hidden="false" customHeight="false" outlineLevel="0" collapsed="false">
      <c r="A35" s="10" t="s">
        <v>32</v>
      </c>
      <c r="B35" s="12" t="s">
        <v>33</v>
      </c>
      <c r="C35" s="13" t="n">
        <f aca="false">FM_Upside!$C$61</f>
        <v>0</v>
      </c>
      <c r="D35" s="13" t="n">
        <f aca="false">FM_Upside!$D$61</f>
        <v>-0.471271656575702</v>
      </c>
      <c r="E35" s="13" t="n">
        <f aca="false">FM_Upside!$E$61</f>
        <v>0.283164857286276</v>
      </c>
      <c r="F35" s="13" t="n">
        <f aca="false">FM_Upside!$F$61</f>
        <v>0.335806259707172</v>
      </c>
      <c r="G35" s="13" t="n">
        <f aca="false">FM_Upside!$G$61</f>
        <v>0.409372301990643</v>
      </c>
    </row>
    <row r="36" customFormat="false" ht="15" hidden="false" customHeight="false" outlineLevel="0" collapsed="false">
      <c r="A36" s="12" t="s">
        <v>34</v>
      </c>
      <c r="B36" s="10" t="s">
        <v>30</v>
      </c>
      <c r="C36" s="11" t="n">
        <f aca="false">FM_Upside!$C$66/10000</f>
        <v>0</v>
      </c>
      <c r="D36" s="11" t="n">
        <f aca="false">FM_Upside!$D$66/10000</f>
        <v>-0.18701076</v>
      </c>
      <c r="E36" s="11" t="n">
        <f aca="false">FM_Upside!$E$66/10000</f>
        <v>1.356373275</v>
      </c>
      <c r="F36" s="11" t="n">
        <f aca="false">FM_Upside!$F$66/10000</f>
        <v>13.1006375216</v>
      </c>
      <c r="G36" s="11" t="n">
        <f aca="false">FM_Upside!$G$66/10000</f>
        <v>50.043773812288</v>
      </c>
    </row>
    <row r="37" customFormat="false" ht="15" hidden="false" customHeight="false" outlineLevel="0" collapsed="false">
      <c r="A37" s="12" t="s">
        <v>35</v>
      </c>
      <c r="B37" s="10" t="s">
        <v>30</v>
      </c>
      <c r="C37" s="11" t="n">
        <f aca="false">FM_Upside!$C$69/10000</f>
        <v>9.216775</v>
      </c>
      <c r="D37" s="11" t="n">
        <f aca="false">FM_Upside!$D$69/10000</f>
        <v>13.8166</v>
      </c>
      <c r="E37" s="11" t="n">
        <f aca="false">FM_Upside!$E$69/10000</f>
        <v>30.5</v>
      </c>
      <c r="F37" s="11" t="n">
        <f aca="false">FM_Upside!$F$69/10000</f>
        <v>43.9</v>
      </c>
      <c r="G37" s="11" t="n">
        <f aca="false">FM_Upside!$G$69/10000</f>
        <v>56.7</v>
      </c>
    </row>
    <row r="38" customFormat="false" ht="15" hidden="false" customHeight="false" outlineLevel="0" collapsed="false">
      <c r="A38" s="10" t="s">
        <v>36</v>
      </c>
      <c r="B38" s="10" t="s">
        <v>30</v>
      </c>
      <c r="C38" s="11" t="n">
        <f aca="false">FM_Upside!$C$70/10000</f>
        <v>-9.216775</v>
      </c>
      <c r="D38" s="11" t="n">
        <f aca="false">FM_Upside!$D$70/10000</f>
        <v>-14.00361076</v>
      </c>
      <c r="E38" s="11" t="n">
        <f aca="false">FM_Upside!$E$70/10000</f>
        <v>-29.143626725</v>
      </c>
      <c r="F38" s="11" t="n">
        <f aca="false">FM_Upside!$F$70/10000</f>
        <v>-30.7993624784</v>
      </c>
      <c r="G38" s="11" t="n">
        <f aca="false">FM_Upside!$G$70/10000</f>
        <v>-6.65622618771198</v>
      </c>
    </row>
    <row r="39" customFormat="false" ht="15" hidden="false" customHeight="false" outlineLevel="0" collapsed="false">
      <c r="A39" s="10" t="s">
        <v>37</v>
      </c>
      <c r="B39" s="10" t="s">
        <v>30</v>
      </c>
      <c r="C39" s="11" t="n">
        <f aca="false">FM_Upside!$C$72/10000</f>
        <v>-9.216775</v>
      </c>
      <c r="D39" s="11" t="n">
        <f aca="false">FM_Upside!$D$72/10000</f>
        <v>-23.34061676</v>
      </c>
      <c r="E39" s="11" t="n">
        <f aca="false">FM_Upside!$E$72/10000</f>
        <v>-54.130179235</v>
      </c>
      <c r="F39" s="11" t="n">
        <f aca="false">FM_Upside!$F$72/10000</f>
        <v>-84.5972512134</v>
      </c>
      <c r="G39" s="11" t="n">
        <f aca="false">FM_Upside!$G$72/10000</f>
        <v>-90.921186901112</v>
      </c>
    </row>
    <row r="40" customFormat="false" ht="15" hidden="false" customHeight="false" outlineLevel="0" collapsed="false">
      <c r="A40" s="10" t="s">
        <v>38</v>
      </c>
      <c r="B40" s="10" t="s">
        <v>39</v>
      </c>
      <c r="C40" s="14" t="n">
        <f aca="false">FM_Upside!$C$9</f>
        <v>0</v>
      </c>
      <c r="D40" s="14" t="n">
        <f aca="false">FM_Upside!$D$9</f>
        <v>3</v>
      </c>
      <c r="E40" s="14" t="n">
        <f aca="false">FM_Upside!$E$9</f>
        <v>65</v>
      </c>
      <c r="F40" s="14" t="n">
        <f aca="false">FM_Upside!$F$9</f>
        <v>310</v>
      </c>
      <c r="G40" s="14" t="n">
        <f aca="false">FM_Upside!$G$9</f>
        <v>982</v>
      </c>
    </row>
    <row r="41" customFormat="false" ht="15" hidden="false" customHeight="false" outlineLevel="0" collapsed="false">
      <c r="A41" s="12" t="s">
        <v>40</v>
      </c>
      <c r="B41" s="10" t="s">
        <v>41</v>
      </c>
      <c r="C41" s="14" t="n">
        <f aca="false">FM_Upside!$C$14</f>
        <v>0</v>
      </c>
      <c r="D41" s="14" t="n">
        <f aca="false">FM_Upside!$D$14</f>
        <v>3</v>
      </c>
      <c r="E41" s="14" t="n">
        <f aca="false">FM_Upside!$E$14</f>
        <v>55.25</v>
      </c>
      <c r="F41" s="14" t="n">
        <f aca="false">FM_Upside!$F$14</f>
        <v>269.17</v>
      </c>
      <c r="G41" s="14" t="n">
        <f aca="false">FM_Upside!$G$14</f>
        <v>753.1696</v>
      </c>
    </row>
    <row r="42" customFormat="false" ht="15" hidden="false" customHeight="false" outlineLevel="0" collapsed="false">
      <c r="A42" s="12" t="s">
        <v>42</v>
      </c>
      <c r="B42" s="10" t="s">
        <v>41</v>
      </c>
      <c r="C42" s="14" t="n">
        <f aca="false">FM_Upside!$C$28</f>
        <v>0</v>
      </c>
      <c r="D42" s="14" t="n">
        <f aca="false">FM_Upside!$D$28</f>
        <v>3</v>
      </c>
      <c r="E42" s="14" t="n">
        <f aca="false">FM_Upside!$E$28</f>
        <v>58.25</v>
      </c>
      <c r="F42" s="14" t="n">
        <f aca="false">FM_Upside!$F$28</f>
        <v>327.42</v>
      </c>
      <c r="G42" s="14" t="n">
        <f aca="false">FM_Upside!$G$28</f>
        <v>1080.5896</v>
      </c>
    </row>
    <row r="43" customFormat="false" ht="15" hidden="false" customHeight="false" outlineLevel="0" collapsed="false">
      <c r="A43" s="10" t="s">
        <v>43</v>
      </c>
      <c r="B43" s="10" t="s">
        <v>39</v>
      </c>
      <c r="C43" s="14" t="n">
        <f aca="false">FM_Upside!$C$29</f>
        <v>0</v>
      </c>
      <c r="D43" s="14" t="n">
        <f aca="false">FM_Upside!$D$29</f>
        <v>0</v>
      </c>
      <c r="E43" s="14" t="n">
        <f aca="false">FM_Upside!$E$29</f>
        <v>192</v>
      </c>
      <c r="F43" s="14" t="n">
        <f aca="false">FM_Upside!$F$29</f>
        <v>480</v>
      </c>
      <c r="G43" s="14" t="n">
        <f aca="false">FM_Upside!$G$29</f>
        <v>672</v>
      </c>
    </row>
    <row r="44" customFormat="false" ht="15" hidden="false" customHeight="false" outlineLevel="0" collapsed="false">
      <c r="A44" s="12" t="s">
        <v>44</v>
      </c>
      <c r="B44" s="12" t="s">
        <v>33</v>
      </c>
      <c r="C44" s="13" t="n">
        <f aca="false">FM_Upside!$C$78</f>
        <v>0</v>
      </c>
      <c r="D44" s="13" t="n">
        <f aca="false">FM_Upside!$D$78</f>
        <v>0.0798209950568896</v>
      </c>
      <c r="E44" s="13" t="n">
        <f aca="false">FM_Upside!$E$78</f>
        <v>0.0524206757836933</v>
      </c>
      <c r="F44" s="13" t="n">
        <f aca="false">FM_Upside!$F$78</f>
        <v>0.0357310385970984</v>
      </c>
      <c r="G44" s="13" t="n">
        <f aca="false">FM_Upside!$G$78</f>
        <v>0.0383396751378574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19.4" hidden="false" customHeight="false" outlineLevel="0" collapsed="false">
      <c r="A1" s="6" t="s">
        <v>47</v>
      </c>
    </row>
    <row r="3" customFormat="false" ht="15" hidden="false" customHeight="false" outlineLevel="0" collapsed="false">
      <c r="A3" s="8" t="s">
        <v>48</v>
      </c>
      <c r="B3" s="9" t="s">
        <v>49</v>
      </c>
      <c r="C3" s="9" t="s">
        <v>23</v>
      </c>
      <c r="D3" s="8" t="s">
        <v>22</v>
      </c>
      <c r="E3" s="8" t="s">
        <v>45</v>
      </c>
      <c r="F3" s="8" t="s">
        <v>46</v>
      </c>
      <c r="G3" s="8" t="s">
        <v>5</v>
      </c>
      <c r="H3" s="8" t="s">
        <v>50</v>
      </c>
    </row>
    <row r="4" customFormat="false" ht="15" hidden="false" customHeight="false" outlineLevel="0" collapsed="false">
      <c r="A4" s="15" t="s">
        <v>51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12" t="s">
        <v>52</v>
      </c>
      <c r="B5" s="10" t="s">
        <v>53</v>
      </c>
      <c r="C5" s="10" t="s">
        <v>54</v>
      </c>
      <c r="D5" s="17" t="n">
        <v>20181</v>
      </c>
      <c r="E5" s="17" t="n">
        <v>20181</v>
      </c>
      <c r="F5" s="17" t="n">
        <v>20181</v>
      </c>
      <c r="G5" s="18" t="s">
        <v>55</v>
      </c>
      <c r="H5" s="10" t="s">
        <v>56</v>
      </c>
    </row>
    <row r="6" customFormat="false" ht="15" hidden="false" customHeight="false" outlineLevel="0" collapsed="false">
      <c r="A6" s="12" t="s">
        <v>57</v>
      </c>
      <c r="B6" s="10" t="s">
        <v>58</v>
      </c>
      <c r="C6" s="12" t="s">
        <v>33</v>
      </c>
      <c r="D6" s="19" t="n">
        <v>0.658</v>
      </c>
      <c r="E6" s="19" t="n">
        <v>0.658</v>
      </c>
      <c r="F6" s="19" t="n">
        <v>0.658</v>
      </c>
      <c r="G6" s="18" t="s">
        <v>55</v>
      </c>
      <c r="H6" s="10" t="s">
        <v>59</v>
      </c>
    </row>
    <row r="7" customFormat="false" ht="15" hidden="false" customHeight="false" outlineLevel="0" collapsed="false">
      <c r="A7" s="12" t="s">
        <v>60</v>
      </c>
      <c r="B7" s="10" t="s">
        <v>61</v>
      </c>
      <c r="C7" s="12" t="s">
        <v>33</v>
      </c>
      <c r="D7" s="19" t="n">
        <v>0.56</v>
      </c>
      <c r="E7" s="19" t="n">
        <v>0.56</v>
      </c>
      <c r="F7" s="19" t="n">
        <v>0.56</v>
      </c>
      <c r="G7" s="18" t="s">
        <v>55</v>
      </c>
      <c r="H7" s="10" t="s">
        <v>59</v>
      </c>
    </row>
    <row r="8" customFormat="false" ht="15" hidden="false" customHeight="false" outlineLevel="0" collapsed="false">
      <c r="A8" s="12" t="s">
        <v>62</v>
      </c>
      <c r="B8" s="10" t="s">
        <v>63</v>
      </c>
      <c r="C8" s="12" t="s">
        <v>33</v>
      </c>
      <c r="D8" s="19" t="n">
        <v>0.306</v>
      </c>
      <c r="E8" s="19" t="n">
        <v>0.306</v>
      </c>
      <c r="F8" s="19" t="n">
        <v>0.306</v>
      </c>
      <c r="G8" s="18" t="s">
        <v>55</v>
      </c>
      <c r="H8" s="10" t="s">
        <v>59</v>
      </c>
    </row>
    <row r="9" customFormat="false" ht="15" hidden="false" customHeight="false" outlineLevel="0" collapsed="false">
      <c r="A9" s="12" t="s">
        <v>64</v>
      </c>
      <c r="B9" s="10" t="s">
        <v>65</v>
      </c>
      <c r="C9" s="10" t="s">
        <v>54</v>
      </c>
      <c r="D9" s="17" t="n">
        <v>12630</v>
      </c>
      <c r="E9" s="17" t="n">
        <v>12630</v>
      </c>
      <c r="F9" s="17" t="n">
        <v>12630</v>
      </c>
      <c r="G9" s="18" t="s">
        <v>55</v>
      </c>
      <c r="H9" s="10" t="s">
        <v>66</v>
      </c>
    </row>
    <row r="10" customFormat="false" ht="15" hidden="false" customHeight="false" outlineLevel="0" collapsed="false">
      <c r="A10" s="12" t="s">
        <v>67</v>
      </c>
      <c r="B10" s="10" t="s">
        <v>68</v>
      </c>
      <c r="C10" s="10" t="s">
        <v>54</v>
      </c>
      <c r="D10" s="17" t="n">
        <v>6390</v>
      </c>
      <c r="E10" s="17" t="n">
        <v>6390</v>
      </c>
      <c r="F10" s="17" t="n">
        <v>6390</v>
      </c>
      <c r="G10" s="18" t="s">
        <v>55</v>
      </c>
      <c r="H10" s="10" t="s">
        <v>66</v>
      </c>
    </row>
    <row r="11" customFormat="false" ht="15" hidden="false" customHeight="false" outlineLevel="0" collapsed="false">
      <c r="A11" s="12" t="s">
        <v>69</v>
      </c>
      <c r="B11" s="10" t="s">
        <v>70</v>
      </c>
      <c r="C11" s="10" t="s">
        <v>54</v>
      </c>
      <c r="D11" s="17" t="n">
        <v>726</v>
      </c>
      <c r="E11" s="17" t="n">
        <v>726</v>
      </c>
      <c r="F11" s="17" t="n">
        <v>726</v>
      </c>
      <c r="G11" s="18" t="s">
        <v>55</v>
      </c>
      <c r="H11" s="12" t="s">
        <v>71</v>
      </c>
    </row>
    <row r="12" customFormat="false" ht="15" hidden="false" customHeight="false" outlineLevel="0" collapsed="false">
      <c r="A12" s="12" t="s">
        <v>72</v>
      </c>
      <c r="B12" s="10" t="s">
        <v>73</v>
      </c>
      <c r="C12" s="10" t="s">
        <v>54</v>
      </c>
      <c r="D12" s="17" t="n">
        <v>342.4</v>
      </c>
      <c r="E12" s="17" t="n">
        <v>342.4</v>
      </c>
      <c r="F12" s="17" t="n">
        <v>342.4</v>
      </c>
      <c r="G12" s="18" t="s">
        <v>55</v>
      </c>
      <c r="H12" s="10" t="s">
        <v>74</v>
      </c>
    </row>
    <row r="13" customFormat="false" ht="15" hidden="false" customHeight="false" outlineLevel="0" collapsed="false">
      <c r="A13" s="12" t="s">
        <v>75</v>
      </c>
      <c r="B13" s="10" t="s">
        <v>76</v>
      </c>
      <c r="C13" s="10" t="s">
        <v>54</v>
      </c>
      <c r="D13" s="17" t="n">
        <v>236.3</v>
      </c>
      <c r="E13" s="17" t="n">
        <v>236.3</v>
      </c>
      <c r="F13" s="17" t="n">
        <v>236.3</v>
      </c>
      <c r="G13" s="18" t="s">
        <v>55</v>
      </c>
      <c r="H13" s="10" t="s">
        <v>77</v>
      </c>
    </row>
    <row r="14" customFormat="false" ht="15" hidden="false" customHeight="false" outlineLevel="0" collapsed="false">
      <c r="A14" s="12" t="s">
        <v>78</v>
      </c>
      <c r="B14" s="10" t="s">
        <v>79</v>
      </c>
      <c r="C14" s="10" t="s">
        <v>54</v>
      </c>
      <c r="D14" s="17" t="n">
        <v>183.1</v>
      </c>
      <c r="E14" s="17" t="n">
        <v>183.1</v>
      </c>
      <c r="F14" s="17" t="n">
        <v>183.1</v>
      </c>
      <c r="G14" s="18" t="s">
        <v>55</v>
      </c>
      <c r="H14" s="10" t="s">
        <v>80</v>
      </c>
    </row>
    <row r="15" customFormat="false" ht="15" hidden="false" customHeight="false" outlineLevel="0" collapsed="false">
      <c r="A15" s="12" t="s">
        <v>81</v>
      </c>
      <c r="B15" s="12" t="s">
        <v>82</v>
      </c>
      <c r="C15" s="10" t="s">
        <v>83</v>
      </c>
      <c r="D15" s="17" t="n">
        <v>22</v>
      </c>
      <c r="E15" s="17" t="n">
        <v>22</v>
      </c>
      <c r="F15" s="17" t="n">
        <v>22</v>
      </c>
      <c r="G15" s="18" t="s">
        <v>84</v>
      </c>
      <c r="H15" s="10" t="s">
        <v>85</v>
      </c>
    </row>
    <row r="16" customFormat="false" ht="15" hidden="false" customHeight="false" outlineLevel="0" collapsed="false">
      <c r="A16" s="12" t="s">
        <v>86</v>
      </c>
      <c r="B16" s="10" t="s">
        <v>87</v>
      </c>
      <c r="C16" s="12" t="s">
        <v>33</v>
      </c>
      <c r="D16" s="19" t="n">
        <v>0.7</v>
      </c>
      <c r="E16" s="19" t="n">
        <v>0.7</v>
      </c>
      <c r="F16" s="19" t="n">
        <v>0.7</v>
      </c>
      <c r="G16" s="18" t="s">
        <v>84</v>
      </c>
      <c r="H16" s="10" t="s">
        <v>88</v>
      </c>
    </row>
    <row r="17" customFormat="false" ht="15" hidden="false" customHeight="false" outlineLevel="0" collapsed="false">
      <c r="A17" s="12" t="s">
        <v>89</v>
      </c>
      <c r="B17" s="10" t="s">
        <v>90</v>
      </c>
      <c r="C17" s="12" t="s">
        <v>33</v>
      </c>
      <c r="D17" s="19" t="n">
        <v>0.4</v>
      </c>
      <c r="E17" s="19" t="n">
        <v>0.4</v>
      </c>
      <c r="F17" s="19" t="n">
        <v>0.4</v>
      </c>
      <c r="G17" s="18" t="s">
        <v>84</v>
      </c>
      <c r="H17" s="10" t="s">
        <v>91</v>
      </c>
    </row>
    <row r="18" customFormat="false" ht="15" hidden="false" customHeight="false" outlineLevel="0" collapsed="false">
      <c r="A18" s="12" t="s">
        <v>92</v>
      </c>
      <c r="B18" s="10" t="s">
        <v>93</v>
      </c>
      <c r="C18" s="10" t="s">
        <v>94</v>
      </c>
      <c r="D18" s="17" t="n">
        <v>100</v>
      </c>
      <c r="E18" s="17" t="n">
        <v>100</v>
      </c>
      <c r="F18" s="17" t="n">
        <v>100</v>
      </c>
      <c r="G18" s="18" t="s">
        <v>84</v>
      </c>
      <c r="H18" s="10" t="s">
        <v>95</v>
      </c>
    </row>
    <row r="19" customFormat="false" ht="15" hidden="false" customHeight="false" outlineLevel="0" collapsed="false">
      <c r="A19" s="12" t="s">
        <v>96</v>
      </c>
      <c r="B19" s="10" t="s">
        <v>97</v>
      </c>
      <c r="C19" s="10" t="s">
        <v>94</v>
      </c>
      <c r="D19" s="17" t="n">
        <v>300</v>
      </c>
      <c r="E19" s="17" t="n">
        <v>300</v>
      </c>
      <c r="F19" s="17" t="n">
        <v>300</v>
      </c>
      <c r="G19" s="18" t="s">
        <v>84</v>
      </c>
      <c r="H19" s="10" t="s">
        <v>98</v>
      </c>
    </row>
    <row r="20" customFormat="false" ht="15" hidden="false" customHeight="false" outlineLevel="0" collapsed="false">
      <c r="A20" s="12" t="s">
        <v>99</v>
      </c>
      <c r="B20" s="12" t="s">
        <v>100</v>
      </c>
      <c r="C20" s="12" t="s">
        <v>33</v>
      </c>
      <c r="D20" s="19" t="n">
        <v>0.1</v>
      </c>
      <c r="E20" s="19" t="n">
        <v>0.1</v>
      </c>
      <c r="F20" s="19" t="n">
        <v>0.1</v>
      </c>
      <c r="G20" s="18" t="s">
        <v>84</v>
      </c>
      <c r="H20" s="10" t="s">
        <v>101</v>
      </c>
    </row>
    <row r="21" customFormat="false" ht="15" hidden="false" customHeight="false" outlineLevel="0" collapsed="false">
      <c r="A21" s="12" t="s">
        <v>102</v>
      </c>
      <c r="B21" s="12" t="s">
        <v>103</v>
      </c>
      <c r="C21" s="12" t="s">
        <v>33</v>
      </c>
      <c r="D21" s="19" t="n">
        <v>0.6</v>
      </c>
      <c r="E21" s="19" t="n">
        <v>0.6</v>
      </c>
      <c r="F21" s="19" t="n">
        <v>0.6</v>
      </c>
      <c r="G21" s="18" t="s">
        <v>84</v>
      </c>
      <c r="H21" s="10" t="s">
        <v>104</v>
      </c>
    </row>
    <row r="22" customFormat="false" ht="15" hidden="false" customHeight="false" outlineLevel="0" collapsed="false">
      <c r="A22" s="12" t="s">
        <v>105</v>
      </c>
      <c r="B22" s="12" t="s">
        <v>106</v>
      </c>
      <c r="C22" s="12" t="s">
        <v>33</v>
      </c>
      <c r="D22" s="19" t="n">
        <v>0.1</v>
      </c>
      <c r="E22" s="19" t="n">
        <v>0.1</v>
      </c>
      <c r="F22" s="19" t="n">
        <v>0.1</v>
      </c>
      <c r="G22" s="18" t="s">
        <v>84</v>
      </c>
      <c r="H22" s="12" t="s">
        <v>107</v>
      </c>
    </row>
    <row r="23" customFormat="false" ht="15" hidden="false" customHeight="false" outlineLevel="0" collapsed="false">
      <c r="A23" s="12" t="s">
        <v>108</v>
      </c>
      <c r="B23" s="12" t="s">
        <v>109</v>
      </c>
      <c r="C23" s="12" t="s">
        <v>33</v>
      </c>
      <c r="D23" s="19" t="n">
        <v>0.6</v>
      </c>
      <c r="E23" s="19" t="n">
        <v>0.6</v>
      </c>
      <c r="F23" s="19" t="n">
        <v>0.6</v>
      </c>
      <c r="G23" s="18" t="s">
        <v>84</v>
      </c>
      <c r="H23" s="10" t="s">
        <v>110</v>
      </c>
    </row>
    <row r="24" customFormat="false" ht="15" hidden="false" customHeight="false" outlineLevel="0" collapsed="false">
      <c r="A24" s="12" t="s">
        <v>111</v>
      </c>
      <c r="B24" s="12" t="s">
        <v>112</v>
      </c>
      <c r="C24" s="12" t="s">
        <v>33</v>
      </c>
      <c r="D24" s="19" t="n">
        <v>0.4</v>
      </c>
      <c r="E24" s="19" t="n">
        <v>0.4</v>
      </c>
      <c r="F24" s="19" t="n">
        <v>0.4</v>
      </c>
      <c r="G24" s="18" t="s">
        <v>84</v>
      </c>
      <c r="H24" s="10" t="s">
        <v>113</v>
      </c>
    </row>
    <row r="25" customFormat="false" ht="15" hidden="false" customHeight="false" outlineLevel="0" collapsed="false">
      <c r="A25" s="12" t="s">
        <v>114</v>
      </c>
      <c r="B25" s="12" t="s">
        <v>115</v>
      </c>
      <c r="C25" s="12" t="s">
        <v>33</v>
      </c>
      <c r="D25" s="19" t="n">
        <v>0.005</v>
      </c>
      <c r="E25" s="19" t="n">
        <v>0.005</v>
      </c>
      <c r="F25" s="19" t="n">
        <v>0.005</v>
      </c>
      <c r="G25" s="18" t="s">
        <v>84</v>
      </c>
      <c r="H25" s="10" t="s">
        <v>116</v>
      </c>
    </row>
    <row r="26" customFormat="false" ht="15" hidden="false" customHeight="false" outlineLevel="0" collapsed="false">
      <c r="A26" s="12" t="s">
        <v>117</v>
      </c>
      <c r="B26" s="10" t="s">
        <v>118</v>
      </c>
      <c r="C26" s="10" t="s">
        <v>94</v>
      </c>
      <c r="D26" s="17" t="n">
        <v>200</v>
      </c>
      <c r="E26" s="17" t="n">
        <v>200</v>
      </c>
      <c r="F26" s="17" t="n">
        <v>200</v>
      </c>
      <c r="G26" s="18" t="s">
        <v>84</v>
      </c>
      <c r="H26" s="12" t="s">
        <v>119</v>
      </c>
    </row>
    <row r="27" customFormat="false" ht="15" hidden="false" customHeight="false" outlineLevel="0" collapsed="false">
      <c r="A27" s="12" t="s">
        <v>120</v>
      </c>
      <c r="B27" s="12" t="s">
        <v>121</v>
      </c>
      <c r="C27" s="12" t="s">
        <v>33</v>
      </c>
      <c r="D27" s="19" t="n">
        <v>0.15</v>
      </c>
      <c r="E27" s="19" t="n">
        <v>0.15</v>
      </c>
      <c r="F27" s="19" t="n">
        <v>0.15</v>
      </c>
      <c r="G27" s="18" t="s">
        <v>84</v>
      </c>
      <c r="H27" s="10" t="s">
        <v>122</v>
      </c>
    </row>
    <row r="28" customFormat="false" ht="15" hidden="false" customHeight="false" outlineLevel="0" collapsed="false">
      <c r="A28" s="15" t="s">
        <v>123</v>
      </c>
      <c r="B28" s="16"/>
      <c r="C28" s="16"/>
      <c r="D28" s="16"/>
      <c r="E28" s="16"/>
      <c r="F28" s="16"/>
      <c r="G28" s="16"/>
      <c r="H28" s="16"/>
    </row>
    <row r="29" customFormat="false" ht="15" hidden="false" customHeight="false" outlineLevel="0" collapsed="false">
      <c r="A29" s="12" t="s">
        <v>124</v>
      </c>
      <c r="B29" s="10" t="s">
        <v>125</v>
      </c>
      <c r="C29" s="10" t="s">
        <v>126</v>
      </c>
      <c r="D29" s="20" t="n">
        <v>1.5</v>
      </c>
      <c r="E29" s="20" t="n">
        <v>1.5</v>
      </c>
      <c r="F29" s="20" t="n">
        <v>1.5</v>
      </c>
      <c r="G29" s="18" t="s">
        <v>55</v>
      </c>
      <c r="H29" s="10" t="s">
        <v>127</v>
      </c>
    </row>
    <row r="30" customFormat="false" ht="15" hidden="false" customHeight="false" outlineLevel="0" collapsed="false">
      <c r="A30" s="12" t="s">
        <v>128</v>
      </c>
      <c r="B30" s="10" t="s">
        <v>129</v>
      </c>
      <c r="C30" s="10" t="s">
        <v>130</v>
      </c>
      <c r="D30" s="17" t="n">
        <v>40</v>
      </c>
      <c r="E30" s="17" t="n">
        <v>40</v>
      </c>
      <c r="F30" s="17" t="n">
        <v>40</v>
      </c>
      <c r="G30" s="18" t="s">
        <v>84</v>
      </c>
      <c r="H30" s="12" t="s">
        <v>131</v>
      </c>
    </row>
    <row r="31" customFormat="false" ht="15" hidden="false" customHeight="false" outlineLevel="0" collapsed="false">
      <c r="A31" s="12" t="s">
        <v>132</v>
      </c>
      <c r="B31" s="12" t="s">
        <v>133</v>
      </c>
      <c r="C31" s="12" t="s">
        <v>33</v>
      </c>
      <c r="D31" s="19" t="n">
        <v>0.6</v>
      </c>
      <c r="E31" s="19" t="n">
        <v>0.6</v>
      </c>
      <c r="F31" s="19" t="n">
        <v>0.6</v>
      </c>
      <c r="G31" s="18" t="s">
        <v>84</v>
      </c>
      <c r="H31" s="10" t="s">
        <v>134</v>
      </c>
    </row>
    <row r="32" customFormat="false" ht="15" hidden="false" customHeight="false" outlineLevel="0" collapsed="false">
      <c r="A32" s="12" t="s">
        <v>135</v>
      </c>
      <c r="B32" s="10" t="s">
        <v>136</v>
      </c>
      <c r="C32" s="10" t="s">
        <v>137</v>
      </c>
      <c r="D32" s="17" t="n">
        <v>1400</v>
      </c>
      <c r="E32" s="17" t="n">
        <v>1400</v>
      </c>
      <c r="F32" s="17" t="n">
        <v>1400</v>
      </c>
      <c r="G32" s="18" t="s">
        <v>84</v>
      </c>
      <c r="H32" s="10" t="s">
        <v>138</v>
      </c>
    </row>
    <row r="33" customFormat="false" ht="15" hidden="false" customHeight="false" outlineLevel="0" collapsed="false">
      <c r="A33" s="15" t="s">
        <v>139</v>
      </c>
      <c r="B33" s="16"/>
      <c r="C33" s="16"/>
      <c r="D33" s="16"/>
      <c r="E33" s="16"/>
      <c r="F33" s="16"/>
      <c r="G33" s="16"/>
      <c r="H33" s="16"/>
    </row>
    <row r="34" customFormat="false" ht="15" hidden="false" customHeight="false" outlineLevel="0" collapsed="false">
      <c r="A34" s="12" t="s">
        <v>140</v>
      </c>
      <c r="B34" s="12" t="s">
        <v>141</v>
      </c>
      <c r="C34" s="10" t="s">
        <v>142</v>
      </c>
      <c r="D34" s="21" t="n">
        <v>400</v>
      </c>
      <c r="E34" s="21" t="n">
        <v>450</v>
      </c>
      <c r="F34" s="21" t="n">
        <v>450</v>
      </c>
      <c r="G34" s="18" t="s">
        <v>84</v>
      </c>
      <c r="H34" s="10" t="s">
        <v>143</v>
      </c>
    </row>
    <row r="35" customFormat="false" ht="15" hidden="false" customHeight="false" outlineLevel="0" collapsed="false">
      <c r="A35" s="12" t="s">
        <v>144</v>
      </c>
      <c r="B35" s="12" t="s">
        <v>145</v>
      </c>
      <c r="C35" s="10" t="s">
        <v>142</v>
      </c>
      <c r="D35" s="17" t="n">
        <v>200</v>
      </c>
      <c r="E35" s="17" t="n">
        <v>220</v>
      </c>
      <c r="F35" s="17" t="n">
        <v>220</v>
      </c>
      <c r="G35" s="18" t="s">
        <v>84</v>
      </c>
      <c r="H35" s="10" t="s">
        <v>146</v>
      </c>
    </row>
    <row r="36" customFormat="false" ht="15" hidden="false" customHeight="false" outlineLevel="0" collapsed="false">
      <c r="A36" s="12" t="s">
        <v>147</v>
      </c>
      <c r="B36" s="12" t="s">
        <v>148</v>
      </c>
      <c r="C36" s="10" t="s">
        <v>142</v>
      </c>
      <c r="D36" s="17" t="n">
        <v>150</v>
      </c>
      <c r="E36" s="17" t="n">
        <v>150</v>
      </c>
      <c r="F36" s="17" t="n">
        <v>150</v>
      </c>
      <c r="G36" s="18" t="s">
        <v>84</v>
      </c>
      <c r="H36" s="10" t="s">
        <v>149</v>
      </c>
    </row>
    <row r="37" customFormat="false" ht="15" hidden="false" customHeight="false" outlineLevel="0" collapsed="false">
      <c r="A37" s="12" t="s">
        <v>150</v>
      </c>
      <c r="B37" s="12" t="s">
        <v>151</v>
      </c>
      <c r="C37" s="10" t="s">
        <v>152</v>
      </c>
      <c r="D37" s="21" t="n">
        <v>1290</v>
      </c>
      <c r="E37" s="21" t="n">
        <v>1490</v>
      </c>
      <c r="F37" s="21" t="n">
        <v>1490</v>
      </c>
      <c r="G37" s="18" t="s">
        <v>84</v>
      </c>
      <c r="H37" s="12" t="s">
        <v>153</v>
      </c>
    </row>
    <row r="38" customFormat="false" ht="15" hidden="false" customHeight="false" outlineLevel="0" collapsed="false">
      <c r="A38" s="12" t="s">
        <v>154</v>
      </c>
      <c r="B38" s="12" t="s">
        <v>155</v>
      </c>
      <c r="C38" s="10" t="s">
        <v>152</v>
      </c>
      <c r="D38" s="17" t="n">
        <v>80</v>
      </c>
      <c r="E38" s="17" t="n">
        <v>80</v>
      </c>
      <c r="F38" s="17" t="n">
        <v>80</v>
      </c>
      <c r="G38" s="18" t="s">
        <v>84</v>
      </c>
      <c r="H38" s="12"/>
    </row>
    <row r="39" customFormat="false" ht="15" hidden="false" customHeight="false" outlineLevel="0" collapsed="false">
      <c r="A39" s="12" t="s">
        <v>156</v>
      </c>
      <c r="B39" s="12" t="s">
        <v>157</v>
      </c>
      <c r="C39" s="10" t="s">
        <v>152</v>
      </c>
      <c r="D39" s="17" t="n">
        <v>120</v>
      </c>
      <c r="E39" s="17" t="n">
        <v>120</v>
      </c>
      <c r="F39" s="17" t="n">
        <v>120</v>
      </c>
      <c r="G39" s="18" t="s">
        <v>84</v>
      </c>
      <c r="H39" s="12"/>
    </row>
    <row r="40" customFormat="false" ht="15" hidden="false" customHeight="false" outlineLevel="0" collapsed="false">
      <c r="A40" s="12" t="s">
        <v>158</v>
      </c>
      <c r="B40" s="12" t="s">
        <v>159</v>
      </c>
      <c r="C40" s="10" t="s">
        <v>160</v>
      </c>
      <c r="D40" s="22" t="n">
        <v>29</v>
      </c>
      <c r="E40" s="22" t="n">
        <v>33</v>
      </c>
      <c r="F40" s="22" t="n">
        <v>33</v>
      </c>
      <c r="G40" s="18" t="s">
        <v>84</v>
      </c>
      <c r="H40" s="10" t="s">
        <v>161</v>
      </c>
    </row>
    <row r="41" customFormat="false" ht="15" hidden="false" customHeight="false" outlineLevel="0" collapsed="false">
      <c r="A41" s="12" t="s">
        <v>162</v>
      </c>
      <c r="B41" s="12" t="s">
        <v>163</v>
      </c>
      <c r="C41" s="10" t="s">
        <v>164</v>
      </c>
      <c r="D41" s="17" t="n">
        <v>60</v>
      </c>
      <c r="E41" s="17" t="n">
        <v>60</v>
      </c>
      <c r="F41" s="17" t="n">
        <v>60</v>
      </c>
      <c r="G41" s="18" t="s">
        <v>84</v>
      </c>
      <c r="H41" s="12"/>
    </row>
    <row r="42" customFormat="false" ht="15" hidden="false" customHeight="false" outlineLevel="0" collapsed="false">
      <c r="A42" s="12" t="s">
        <v>165</v>
      </c>
      <c r="B42" s="12" t="s">
        <v>166</v>
      </c>
      <c r="C42" s="10" t="s">
        <v>167</v>
      </c>
      <c r="D42" s="21" t="n">
        <v>42</v>
      </c>
      <c r="E42" s="21" t="n">
        <v>48</v>
      </c>
      <c r="F42" s="21" t="n">
        <v>48</v>
      </c>
      <c r="G42" s="18" t="s">
        <v>84</v>
      </c>
      <c r="H42" s="10" t="s">
        <v>168</v>
      </c>
    </row>
    <row r="43" customFormat="false" ht="15" hidden="false" customHeight="false" outlineLevel="0" collapsed="false">
      <c r="A43" s="12" t="s">
        <v>169</v>
      </c>
      <c r="B43" s="12" t="s">
        <v>170</v>
      </c>
      <c r="C43" s="10" t="s">
        <v>167</v>
      </c>
      <c r="D43" s="17" t="n">
        <v>72</v>
      </c>
      <c r="E43" s="17" t="n">
        <v>72</v>
      </c>
      <c r="F43" s="17" t="n">
        <v>72</v>
      </c>
      <c r="G43" s="18" t="s">
        <v>84</v>
      </c>
      <c r="H43" s="10" t="s">
        <v>171</v>
      </c>
    </row>
    <row r="44" customFormat="false" ht="15" hidden="false" customHeight="false" outlineLevel="0" collapsed="false">
      <c r="A44" s="12" t="s">
        <v>172</v>
      </c>
      <c r="B44" s="12" t="s">
        <v>173</v>
      </c>
      <c r="C44" s="10" t="s">
        <v>174</v>
      </c>
      <c r="D44" s="20" t="n">
        <v>4.5</v>
      </c>
      <c r="E44" s="20" t="n">
        <v>4.5</v>
      </c>
      <c r="F44" s="20" t="n">
        <v>4.5</v>
      </c>
      <c r="G44" s="18" t="s">
        <v>84</v>
      </c>
      <c r="H44" s="10" t="s">
        <v>175</v>
      </c>
    </row>
    <row r="45" customFormat="false" ht="15" hidden="false" customHeight="false" outlineLevel="0" collapsed="false">
      <c r="A45" s="12" t="s">
        <v>176</v>
      </c>
      <c r="B45" s="12" t="s">
        <v>177</v>
      </c>
      <c r="C45" s="10" t="s">
        <v>178</v>
      </c>
      <c r="D45" s="20" t="n">
        <v>4</v>
      </c>
      <c r="E45" s="20" t="n">
        <v>4</v>
      </c>
      <c r="F45" s="20" t="n">
        <v>4</v>
      </c>
      <c r="G45" s="18" t="s">
        <v>84</v>
      </c>
      <c r="H45" s="12" t="s">
        <v>179</v>
      </c>
    </row>
    <row r="46" customFormat="false" ht="15" hidden="false" customHeight="false" outlineLevel="0" collapsed="false">
      <c r="A46" s="12" t="s">
        <v>180</v>
      </c>
      <c r="B46" s="12" t="s">
        <v>181</v>
      </c>
      <c r="C46" s="10" t="s">
        <v>174</v>
      </c>
      <c r="D46" s="20" t="n">
        <v>2.5</v>
      </c>
      <c r="E46" s="20" t="n">
        <v>2.5</v>
      </c>
      <c r="F46" s="20" t="n">
        <v>2.5</v>
      </c>
      <c r="G46" s="18" t="s">
        <v>84</v>
      </c>
      <c r="H46" s="12"/>
    </row>
    <row r="47" customFormat="false" ht="15" hidden="false" customHeight="false" outlineLevel="0" collapsed="false">
      <c r="A47" s="12" t="s">
        <v>182</v>
      </c>
      <c r="B47" s="12" t="s">
        <v>183</v>
      </c>
      <c r="C47" s="10" t="s">
        <v>178</v>
      </c>
      <c r="D47" s="20" t="n">
        <v>4</v>
      </c>
      <c r="E47" s="20" t="n">
        <v>4</v>
      </c>
      <c r="F47" s="20" t="n">
        <v>4</v>
      </c>
      <c r="G47" s="18" t="s">
        <v>84</v>
      </c>
      <c r="H47" s="12"/>
    </row>
    <row r="48" customFormat="false" ht="15" hidden="false" customHeight="false" outlineLevel="0" collapsed="false">
      <c r="A48" s="12" t="s">
        <v>184</v>
      </c>
      <c r="B48" s="12" t="s">
        <v>185</v>
      </c>
      <c r="C48" s="10" t="s">
        <v>174</v>
      </c>
      <c r="D48" s="20" t="n">
        <v>4</v>
      </c>
      <c r="E48" s="20" t="n">
        <v>4</v>
      </c>
      <c r="F48" s="20" t="n">
        <v>4</v>
      </c>
      <c r="G48" s="18" t="s">
        <v>84</v>
      </c>
      <c r="H48" s="12"/>
    </row>
    <row r="49" customFormat="false" ht="15" hidden="false" customHeight="false" outlineLevel="0" collapsed="false">
      <c r="A49" s="12" t="s">
        <v>186</v>
      </c>
      <c r="B49" s="12" t="s">
        <v>187</v>
      </c>
      <c r="C49" s="10" t="s">
        <v>178</v>
      </c>
      <c r="D49" s="20" t="n">
        <v>2</v>
      </c>
      <c r="E49" s="20" t="n">
        <v>2</v>
      </c>
      <c r="F49" s="20" t="n">
        <v>2</v>
      </c>
      <c r="G49" s="18" t="s">
        <v>84</v>
      </c>
      <c r="H49" s="12"/>
    </row>
    <row r="50" customFormat="false" ht="15" hidden="false" customHeight="false" outlineLevel="0" collapsed="false">
      <c r="A50" s="12" t="s">
        <v>188</v>
      </c>
      <c r="B50" s="12" t="s">
        <v>189</v>
      </c>
      <c r="C50" s="12" t="s">
        <v>33</v>
      </c>
      <c r="D50" s="19" t="n">
        <v>0.55</v>
      </c>
      <c r="E50" s="19" t="n">
        <v>0.7</v>
      </c>
      <c r="F50" s="19" t="n">
        <v>0.7</v>
      </c>
      <c r="G50" s="18" t="s">
        <v>84</v>
      </c>
      <c r="H50" s="12"/>
    </row>
    <row r="51" customFormat="false" ht="15" hidden="false" customHeight="false" outlineLevel="0" collapsed="false">
      <c r="A51" s="12" t="s">
        <v>190</v>
      </c>
      <c r="B51" s="12" t="s">
        <v>191</v>
      </c>
      <c r="C51" s="12" t="s">
        <v>33</v>
      </c>
      <c r="D51" s="19" t="n">
        <v>0.55</v>
      </c>
      <c r="E51" s="19" t="n">
        <v>0.7</v>
      </c>
      <c r="F51" s="19" t="n">
        <v>0.7</v>
      </c>
      <c r="G51" s="18" t="s">
        <v>84</v>
      </c>
      <c r="H51" s="12"/>
    </row>
    <row r="52" customFormat="false" ht="15" hidden="false" customHeight="false" outlineLevel="0" collapsed="false">
      <c r="A52" s="12" t="s">
        <v>192</v>
      </c>
      <c r="B52" s="12" t="s">
        <v>193</v>
      </c>
      <c r="C52" s="10" t="s">
        <v>194</v>
      </c>
      <c r="D52" s="17" t="n">
        <v>60</v>
      </c>
      <c r="E52" s="17" t="n">
        <v>60</v>
      </c>
      <c r="F52" s="17" t="n">
        <v>60</v>
      </c>
      <c r="G52" s="18" t="s">
        <v>84</v>
      </c>
      <c r="H52" s="12" t="s">
        <v>195</v>
      </c>
    </row>
    <row r="53" customFormat="false" ht="15" hidden="false" customHeight="false" outlineLevel="0" collapsed="false">
      <c r="A53" s="12" t="s">
        <v>196</v>
      </c>
      <c r="B53" s="12" t="s">
        <v>197</v>
      </c>
      <c r="C53" s="12" t="s">
        <v>33</v>
      </c>
      <c r="D53" s="19" t="n">
        <v>0.1</v>
      </c>
      <c r="E53" s="19" t="n">
        <v>0.2</v>
      </c>
      <c r="F53" s="19" t="n">
        <v>0.2</v>
      </c>
      <c r="G53" s="18" t="s">
        <v>84</v>
      </c>
      <c r="H53" s="12"/>
    </row>
    <row r="54" customFormat="false" ht="15" hidden="false" customHeight="false" outlineLevel="0" collapsed="false">
      <c r="A54" s="12" t="s">
        <v>198</v>
      </c>
      <c r="B54" s="12" t="s">
        <v>199</v>
      </c>
      <c r="C54" s="10" t="s">
        <v>194</v>
      </c>
      <c r="D54" s="17" t="n">
        <v>80</v>
      </c>
      <c r="E54" s="17" t="n">
        <v>80</v>
      </c>
      <c r="F54" s="17" t="n">
        <v>80</v>
      </c>
      <c r="G54" s="18" t="s">
        <v>84</v>
      </c>
      <c r="H54" s="12" t="s">
        <v>200</v>
      </c>
    </row>
    <row r="55" customFormat="false" ht="15" hidden="false" customHeight="false" outlineLevel="0" collapsed="false">
      <c r="A55" s="12" t="s">
        <v>201</v>
      </c>
      <c r="B55" s="12" t="s">
        <v>202</v>
      </c>
      <c r="C55" s="12" t="s">
        <v>33</v>
      </c>
      <c r="D55" s="19" t="n">
        <v>0.15</v>
      </c>
      <c r="E55" s="19" t="n">
        <v>0.25</v>
      </c>
      <c r="F55" s="19" t="n">
        <v>0.25</v>
      </c>
      <c r="G55" s="18" t="s">
        <v>84</v>
      </c>
      <c r="H55" s="12"/>
    </row>
    <row r="56" customFormat="false" ht="15" hidden="false" customHeight="false" outlineLevel="0" collapsed="false">
      <c r="A56" s="12" t="s">
        <v>203</v>
      </c>
      <c r="B56" s="12" t="s">
        <v>204</v>
      </c>
      <c r="C56" s="12" t="s">
        <v>33</v>
      </c>
      <c r="D56" s="19" t="n">
        <v>0.88</v>
      </c>
      <c r="E56" s="19" t="n">
        <v>0.88</v>
      </c>
      <c r="F56" s="19" t="n">
        <v>0.88</v>
      </c>
      <c r="G56" s="18" t="s">
        <v>84</v>
      </c>
      <c r="H56" s="12" t="s">
        <v>205</v>
      </c>
    </row>
    <row r="57" customFormat="false" ht="15" hidden="false" customHeight="false" outlineLevel="0" collapsed="false">
      <c r="A57" s="12" t="s">
        <v>206</v>
      </c>
      <c r="B57" s="12" t="s">
        <v>207</v>
      </c>
      <c r="C57" s="10" t="s">
        <v>160</v>
      </c>
      <c r="D57" s="20" t="n">
        <v>6</v>
      </c>
      <c r="E57" s="20" t="n">
        <v>6</v>
      </c>
      <c r="F57" s="20" t="n">
        <v>6</v>
      </c>
      <c r="G57" s="18" t="s">
        <v>84</v>
      </c>
      <c r="H57" s="12"/>
    </row>
    <row r="58" customFormat="false" ht="15" hidden="false" customHeight="false" outlineLevel="0" collapsed="false">
      <c r="A58" s="15" t="s">
        <v>208</v>
      </c>
      <c r="B58" s="16"/>
      <c r="C58" s="16"/>
      <c r="D58" s="16"/>
      <c r="E58" s="16"/>
      <c r="F58" s="16"/>
      <c r="G58" s="16"/>
      <c r="H58" s="16"/>
    </row>
    <row r="59" customFormat="false" ht="15" hidden="false" customHeight="false" outlineLevel="0" collapsed="false">
      <c r="A59" s="12" t="s">
        <v>209</v>
      </c>
      <c r="B59" s="12" t="s">
        <v>210</v>
      </c>
      <c r="C59" s="10" t="s">
        <v>142</v>
      </c>
      <c r="D59" s="17" t="n">
        <v>200</v>
      </c>
      <c r="E59" s="17" t="n">
        <v>200</v>
      </c>
      <c r="F59" s="17" t="n">
        <v>200</v>
      </c>
      <c r="G59" s="18" t="s">
        <v>84</v>
      </c>
      <c r="H59" s="12" t="s">
        <v>211</v>
      </c>
    </row>
    <row r="60" customFormat="false" ht="15" hidden="false" customHeight="false" outlineLevel="0" collapsed="false">
      <c r="A60" s="12" t="s">
        <v>212</v>
      </c>
      <c r="B60" s="12" t="s">
        <v>213</v>
      </c>
      <c r="C60" s="12" t="s">
        <v>214</v>
      </c>
      <c r="D60" s="20" t="n">
        <v>1.6</v>
      </c>
      <c r="E60" s="20" t="n">
        <v>1.6</v>
      </c>
      <c r="F60" s="20" t="n">
        <v>1.6</v>
      </c>
      <c r="G60" s="18" t="s">
        <v>84</v>
      </c>
      <c r="H60" s="12"/>
    </row>
    <row r="61" customFormat="false" ht="15" hidden="false" customHeight="false" outlineLevel="0" collapsed="false">
      <c r="A61" s="12" t="s">
        <v>215</v>
      </c>
      <c r="B61" s="12" t="s">
        <v>216</v>
      </c>
      <c r="C61" s="10" t="s">
        <v>142</v>
      </c>
      <c r="D61" s="17" t="n">
        <v>100</v>
      </c>
      <c r="E61" s="17" t="n">
        <v>100</v>
      </c>
      <c r="F61" s="17" t="n">
        <v>100</v>
      </c>
      <c r="G61" s="18" t="s">
        <v>84</v>
      </c>
      <c r="H61" s="12"/>
    </row>
    <row r="62" customFormat="false" ht="15" hidden="false" customHeight="false" outlineLevel="0" collapsed="false">
      <c r="A62" s="12" t="s">
        <v>217</v>
      </c>
      <c r="B62" s="12" t="s">
        <v>218</v>
      </c>
      <c r="C62" s="10" t="s">
        <v>142</v>
      </c>
      <c r="D62" s="17" t="n">
        <v>145</v>
      </c>
      <c r="E62" s="17" t="n">
        <v>130</v>
      </c>
      <c r="F62" s="17" t="n">
        <v>120</v>
      </c>
      <c r="G62" s="18" t="s">
        <v>84</v>
      </c>
      <c r="H62" s="12"/>
    </row>
    <row r="63" customFormat="false" ht="15" hidden="false" customHeight="false" outlineLevel="0" collapsed="false">
      <c r="A63" s="12" t="s">
        <v>219</v>
      </c>
      <c r="B63" s="12" t="s">
        <v>220</v>
      </c>
      <c r="C63" s="10" t="s">
        <v>142</v>
      </c>
      <c r="D63" s="17" t="n">
        <v>70</v>
      </c>
      <c r="E63" s="17" t="n">
        <v>70</v>
      </c>
      <c r="F63" s="17" t="n">
        <v>70</v>
      </c>
      <c r="G63" s="18" t="s">
        <v>84</v>
      </c>
      <c r="H63" s="12" t="s">
        <v>221</v>
      </c>
    </row>
    <row r="64" customFormat="false" ht="15" hidden="false" customHeight="false" outlineLevel="0" collapsed="false">
      <c r="A64" s="12" t="s">
        <v>222</v>
      </c>
      <c r="B64" s="10" t="s">
        <v>223</v>
      </c>
      <c r="C64" s="10" t="s">
        <v>142</v>
      </c>
      <c r="D64" s="17" t="n">
        <v>25</v>
      </c>
      <c r="E64" s="17" t="n">
        <v>25</v>
      </c>
      <c r="F64" s="17" t="n">
        <v>25</v>
      </c>
      <c r="G64" s="18" t="s">
        <v>84</v>
      </c>
      <c r="H64" s="12"/>
    </row>
    <row r="65" customFormat="false" ht="15" hidden="false" customHeight="false" outlineLevel="0" collapsed="false">
      <c r="A65" s="12" t="s">
        <v>224</v>
      </c>
      <c r="B65" s="12" t="s">
        <v>225</v>
      </c>
      <c r="C65" s="12" t="s">
        <v>33</v>
      </c>
      <c r="D65" s="19" t="n">
        <v>0.05</v>
      </c>
      <c r="E65" s="19" t="n">
        <v>0.04</v>
      </c>
      <c r="F65" s="19" t="n">
        <v>0.035</v>
      </c>
      <c r="G65" s="18" t="s">
        <v>84</v>
      </c>
      <c r="H65" s="12" t="s">
        <v>226</v>
      </c>
    </row>
    <row r="66" customFormat="false" ht="15" hidden="false" customHeight="false" outlineLevel="0" collapsed="false">
      <c r="A66" s="12" t="s">
        <v>227</v>
      </c>
      <c r="B66" s="10" t="s">
        <v>228</v>
      </c>
      <c r="C66" s="10" t="s">
        <v>229</v>
      </c>
      <c r="D66" s="20" t="n">
        <v>0.9</v>
      </c>
      <c r="E66" s="20" t="n">
        <v>0.6</v>
      </c>
      <c r="F66" s="20" t="n">
        <v>0.5</v>
      </c>
      <c r="G66" s="18" t="s">
        <v>84</v>
      </c>
      <c r="H66" s="12"/>
    </row>
    <row r="67" customFormat="false" ht="15" hidden="false" customHeight="false" outlineLevel="0" collapsed="false">
      <c r="A67" s="12" t="s">
        <v>230</v>
      </c>
      <c r="B67" s="10" t="s">
        <v>231</v>
      </c>
      <c r="C67" s="10" t="s">
        <v>232</v>
      </c>
      <c r="D67" s="17" t="n">
        <v>18</v>
      </c>
      <c r="E67" s="17" t="n">
        <v>18</v>
      </c>
      <c r="F67" s="17" t="n">
        <v>18</v>
      </c>
      <c r="G67" s="18" t="s">
        <v>84</v>
      </c>
      <c r="H67" s="12"/>
    </row>
    <row r="68" customFormat="false" ht="15" hidden="false" customHeight="false" outlineLevel="0" collapsed="false">
      <c r="A68" s="12" t="s">
        <v>233</v>
      </c>
      <c r="B68" s="12" t="s">
        <v>234</v>
      </c>
      <c r="C68" s="10" t="s">
        <v>235</v>
      </c>
      <c r="D68" s="17" t="n">
        <v>4</v>
      </c>
      <c r="E68" s="17" t="n">
        <v>4</v>
      </c>
      <c r="F68" s="17" t="n">
        <v>4</v>
      </c>
      <c r="G68" s="18" t="s">
        <v>84</v>
      </c>
      <c r="H68" s="12"/>
    </row>
    <row r="69" customFormat="false" ht="15" hidden="false" customHeight="false" outlineLevel="0" collapsed="false">
      <c r="A69" s="12" t="s">
        <v>236</v>
      </c>
      <c r="B69" s="12" t="s">
        <v>237</v>
      </c>
      <c r="C69" s="12" t="s">
        <v>33</v>
      </c>
      <c r="D69" s="19" t="n">
        <v>0.4</v>
      </c>
      <c r="E69" s="19" t="n">
        <v>0.35</v>
      </c>
      <c r="F69" s="19" t="n">
        <v>0.32</v>
      </c>
      <c r="G69" s="18" t="s">
        <v>84</v>
      </c>
      <c r="H69" s="12"/>
    </row>
    <row r="70" customFormat="false" ht="15" hidden="false" customHeight="false" outlineLevel="0" collapsed="false">
      <c r="A70" s="12" t="s">
        <v>238</v>
      </c>
      <c r="B70" s="12" t="s">
        <v>239</v>
      </c>
      <c r="C70" s="12" t="s">
        <v>33</v>
      </c>
      <c r="D70" s="19" t="n">
        <v>0.1</v>
      </c>
      <c r="E70" s="19" t="n">
        <v>0.1</v>
      </c>
      <c r="F70" s="19" t="n">
        <v>0.1</v>
      </c>
      <c r="G70" s="18" t="s">
        <v>84</v>
      </c>
      <c r="H70" s="12"/>
    </row>
    <row r="71" customFormat="false" ht="15" hidden="false" customHeight="false" outlineLevel="0" collapsed="false">
      <c r="A71" s="12" t="s">
        <v>240</v>
      </c>
      <c r="B71" s="12" t="s">
        <v>241</v>
      </c>
      <c r="C71" s="12" t="s">
        <v>33</v>
      </c>
      <c r="D71" s="19" t="n">
        <v>0.45</v>
      </c>
      <c r="E71" s="19" t="n">
        <v>0.45</v>
      </c>
      <c r="F71" s="19" t="n">
        <v>0.45</v>
      </c>
      <c r="G71" s="18" t="s">
        <v>84</v>
      </c>
      <c r="H71" s="12"/>
    </row>
    <row r="72" customFormat="false" ht="15" hidden="false" customHeight="false" outlineLevel="0" collapsed="false">
      <c r="A72" s="12" t="s">
        <v>242</v>
      </c>
      <c r="B72" s="12" t="s">
        <v>243</v>
      </c>
      <c r="C72" s="12" t="s">
        <v>33</v>
      </c>
      <c r="D72" s="19" t="n">
        <v>0.12</v>
      </c>
      <c r="E72" s="19" t="n">
        <v>0.1</v>
      </c>
      <c r="F72" s="19" t="n">
        <v>0.09</v>
      </c>
      <c r="G72" s="18" t="s">
        <v>84</v>
      </c>
      <c r="H72" s="12"/>
    </row>
    <row r="73" customFormat="false" ht="15" hidden="false" customHeight="false" outlineLevel="0" collapsed="false">
      <c r="A73" s="12" t="s">
        <v>244</v>
      </c>
      <c r="B73" s="10" t="s">
        <v>245</v>
      </c>
      <c r="C73" s="10" t="s">
        <v>142</v>
      </c>
      <c r="D73" s="17" t="n">
        <v>180</v>
      </c>
      <c r="E73" s="17" t="n">
        <v>150</v>
      </c>
      <c r="F73" s="17" t="n">
        <v>140</v>
      </c>
      <c r="G73" s="18" t="s">
        <v>84</v>
      </c>
      <c r="H73" s="12"/>
    </row>
    <row r="74" customFormat="false" ht="15" hidden="false" customHeight="false" outlineLevel="0" collapsed="false">
      <c r="A74" s="12" t="s">
        <v>246</v>
      </c>
      <c r="B74" s="10" t="s">
        <v>247</v>
      </c>
      <c r="C74" s="10" t="s">
        <v>248</v>
      </c>
      <c r="D74" s="17" t="n">
        <v>2000</v>
      </c>
      <c r="E74" s="17" t="n">
        <v>2000</v>
      </c>
      <c r="F74" s="17" t="n">
        <v>2000</v>
      </c>
      <c r="G74" s="18" t="s">
        <v>84</v>
      </c>
      <c r="H74" s="12"/>
    </row>
    <row r="75" customFormat="false" ht="15" hidden="false" customHeight="false" outlineLevel="0" collapsed="false">
      <c r="A75" s="12" t="s">
        <v>249</v>
      </c>
      <c r="B75" s="12" t="s">
        <v>250</v>
      </c>
      <c r="C75" s="12" t="s">
        <v>33</v>
      </c>
      <c r="D75" s="19" t="n">
        <v>0.15</v>
      </c>
      <c r="E75" s="19" t="n">
        <v>0.15</v>
      </c>
      <c r="F75" s="19" t="n">
        <v>0.15</v>
      </c>
      <c r="G75" s="18" t="s">
        <v>84</v>
      </c>
      <c r="H75" s="12" t="s">
        <v>251</v>
      </c>
    </row>
    <row r="76" customFormat="false" ht="15" hidden="false" customHeight="false" outlineLevel="0" collapsed="false">
      <c r="A76" s="12" t="s">
        <v>252</v>
      </c>
      <c r="B76" s="12" t="s">
        <v>253</v>
      </c>
      <c r="C76" s="12" t="s">
        <v>254</v>
      </c>
      <c r="D76" s="19" t="n">
        <v>0.08</v>
      </c>
      <c r="E76" s="19" t="n">
        <v>0.08</v>
      </c>
      <c r="F76" s="19" t="n">
        <v>0.08</v>
      </c>
      <c r="G76" s="18" t="s">
        <v>84</v>
      </c>
      <c r="H76" s="10" t="s">
        <v>255</v>
      </c>
    </row>
    <row r="77" customFormat="false" ht="15" hidden="false" customHeight="false" outlineLevel="0" collapsed="false">
      <c r="A77" s="12" t="s">
        <v>256</v>
      </c>
      <c r="B77" s="12" t="s">
        <v>257</v>
      </c>
      <c r="C77" s="10" t="s">
        <v>164</v>
      </c>
      <c r="D77" s="17" t="n">
        <v>36</v>
      </c>
      <c r="E77" s="17" t="n">
        <v>36</v>
      </c>
      <c r="F77" s="17" t="n">
        <v>36</v>
      </c>
      <c r="G77" s="18" t="s">
        <v>84</v>
      </c>
      <c r="H77" s="10" t="s">
        <v>258</v>
      </c>
    </row>
    <row r="78" customFormat="false" ht="15" hidden="false" customHeight="false" outlineLevel="0" collapsed="false">
      <c r="A78" s="15" t="s">
        <v>259</v>
      </c>
      <c r="B78" s="16"/>
      <c r="C78" s="16"/>
      <c r="D78" s="16"/>
      <c r="E78" s="16"/>
      <c r="F78" s="16"/>
      <c r="G78" s="16"/>
      <c r="H78" s="16"/>
    </row>
    <row r="79" customFormat="false" ht="15" hidden="false" customHeight="false" outlineLevel="0" collapsed="false">
      <c r="A79" s="12" t="s">
        <v>260</v>
      </c>
      <c r="B79" s="12" t="s">
        <v>261</v>
      </c>
      <c r="C79" s="12" t="s">
        <v>254</v>
      </c>
      <c r="D79" s="19" t="n">
        <v>0.05</v>
      </c>
      <c r="E79" s="19" t="n">
        <v>0.1</v>
      </c>
      <c r="F79" s="19" t="n">
        <v>0.12</v>
      </c>
      <c r="G79" s="18" t="s">
        <v>84</v>
      </c>
      <c r="H79" s="12"/>
    </row>
    <row r="80" customFormat="false" ht="15" hidden="false" customHeight="false" outlineLevel="0" collapsed="false">
      <c r="A80" s="12" t="s">
        <v>262</v>
      </c>
      <c r="B80" s="12" t="s">
        <v>263</v>
      </c>
      <c r="C80" s="10" t="s">
        <v>39</v>
      </c>
      <c r="D80" s="17" t="n">
        <v>800</v>
      </c>
      <c r="E80" s="17" t="n">
        <v>800</v>
      </c>
      <c r="F80" s="17" t="n">
        <v>800</v>
      </c>
      <c r="G80" s="18" t="s">
        <v>84</v>
      </c>
      <c r="H80" s="12"/>
    </row>
    <row r="81" customFormat="false" ht="15" hidden="false" customHeight="false" outlineLevel="0" collapsed="false">
      <c r="A81" s="12" t="s">
        <v>264</v>
      </c>
      <c r="B81" s="10" t="s">
        <v>265</v>
      </c>
      <c r="C81" s="12" t="s">
        <v>33</v>
      </c>
      <c r="D81" s="23" t="n">
        <v>0.06</v>
      </c>
      <c r="E81" s="23" t="n">
        <v>0.1</v>
      </c>
      <c r="F81" s="23" t="n">
        <v>0.12</v>
      </c>
      <c r="G81" s="18" t="s">
        <v>84</v>
      </c>
      <c r="H81" s="12"/>
    </row>
    <row r="82" customFormat="false" ht="15" hidden="false" customHeight="false" outlineLevel="0" collapsed="false">
      <c r="A82" s="12" t="s">
        <v>266</v>
      </c>
      <c r="B82" s="10" t="s">
        <v>267</v>
      </c>
      <c r="C82" s="12" t="s">
        <v>33</v>
      </c>
      <c r="D82" s="19" t="n">
        <v>0.15</v>
      </c>
      <c r="E82" s="19" t="n">
        <v>0.25</v>
      </c>
      <c r="F82" s="19" t="n">
        <v>0.3</v>
      </c>
      <c r="G82" s="18" t="s">
        <v>84</v>
      </c>
      <c r="H82" s="12"/>
    </row>
    <row r="83" customFormat="false" ht="15" hidden="false" customHeight="false" outlineLevel="0" collapsed="false">
      <c r="A83" s="15" t="s">
        <v>268</v>
      </c>
      <c r="B83" s="16"/>
      <c r="C83" s="16"/>
      <c r="D83" s="16"/>
      <c r="E83" s="16"/>
      <c r="F83" s="16"/>
      <c r="G83" s="16"/>
      <c r="H83" s="16"/>
    </row>
    <row r="84" customFormat="false" ht="15" hidden="false" customHeight="false" outlineLevel="0" collapsed="false">
      <c r="A84" s="12" t="s">
        <v>269</v>
      </c>
      <c r="B84" s="12" t="s">
        <v>270</v>
      </c>
      <c r="C84" s="10" t="s">
        <v>194</v>
      </c>
      <c r="D84" s="17" t="n">
        <v>80000</v>
      </c>
      <c r="E84" s="17" t="n">
        <v>80000</v>
      </c>
      <c r="F84" s="17" t="n">
        <v>80000</v>
      </c>
      <c r="G84" s="18" t="s">
        <v>55</v>
      </c>
      <c r="H84" s="10" t="s">
        <v>271</v>
      </c>
    </row>
    <row r="85" customFormat="false" ht="15" hidden="false" customHeight="false" outlineLevel="0" collapsed="false">
      <c r="A85" s="12" t="s">
        <v>272</v>
      </c>
      <c r="B85" s="12" t="s">
        <v>273</v>
      </c>
      <c r="C85" s="10" t="s">
        <v>164</v>
      </c>
      <c r="D85" s="17" t="n">
        <v>24</v>
      </c>
      <c r="E85" s="17" t="n">
        <v>24</v>
      </c>
      <c r="F85" s="17" t="n">
        <v>24</v>
      </c>
      <c r="G85" s="18" t="s">
        <v>55</v>
      </c>
      <c r="H85" s="10" t="s">
        <v>274</v>
      </c>
    </row>
    <row r="86" customFormat="false" ht="15" hidden="false" customHeight="false" outlineLevel="0" collapsed="false">
      <c r="A86" s="12" t="s">
        <v>275</v>
      </c>
      <c r="B86" s="10" t="s">
        <v>276</v>
      </c>
      <c r="C86" s="12" t="s">
        <v>33</v>
      </c>
      <c r="D86" s="19" t="n">
        <v>0.75</v>
      </c>
      <c r="E86" s="19" t="n">
        <v>0.75</v>
      </c>
      <c r="F86" s="19" t="n">
        <v>0.75</v>
      </c>
      <c r="G86" s="18" t="s">
        <v>55</v>
      </c>
      <c r="H86" s="10" t="s">
        <v>277</v>
      </c>
    </row>
    <row r="87" customFormat="false" ht="15" hidden="false" customHeight="false" outlineLevel="0" collapsed="false">
      <c r="A87" s="12" t="s">
        <v>278</v>
      </c>
      <c r="B87" s="10" t="s">
        <v>279</v>
      </c>
      <c r="C87" s="12" t="s">
        <v>33</v>
      </c>
      <c r="D87" s="19" t="n">
        <v>0.1</v>
      </c>
      <c r="E87" s="19" t="n">
        <v>0.1</v>
      </c>
      <c r="F87" s="19" t="n">
        <v>0.1</v>
      </c>
      <c r="G87" s="18" t="s">
        <v>55</v>
      </c>
      <c r="H87" s="10" t="s">
        <v>280</v>
      </c>
    </row>
    <row r="88" customFormat="false" ht="15" hidden="false" customHeight="false" outlineLevel="0" collapsed="false">
      <c r="A88" s="12" t="s">
        <v>281</v>
      </c>
      <c r="B88" s="12" t="s">
        <v>282</v>
      </c>
      <c r="C88" s="10" t="s">
        <v>194</v>
      </c>
      <c r="D88" s="17" t="n">
        <v>20000</v>
      </c>
      <c r="E88" s="17" t="n">
        <v>20000</v>
      </c>
      <c r="F88" s="17" t="n">
        <v>20000</v>
      </c>
      <c r="G88" s="18" t="s">
        <v>55</v>
      </c>
      <c r="H88" s="12" t="s">
        <v>283</v>
      </c>
    </row>
    <row r="89" customFormat="false" ht="15" hidden="false" customHeight="false" outlineLevel="0" collapsed="false">
      <c r="A89" s="12" t="s">
        <v>284</v>
      </c>
      <c r="B89" s="10" t="s">
        <v>285</v>
      </c>
      <c r="C89" s="10" t="s">
        <v>194</v>
      </c>
      <c r="D89" s="17" t="n">
        <v>15000</v>
      </c>
      <c r="E89" s="17" t="n">
        <v>15000</v>
      </c>
      <c r="F89" s="17" t="n">
        <v>15000</v>
      </c>
      <c r="G89" s="18" t="s">
        <v>55</v>
      </c>
      <c r="H89" s="10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9" min="5" style="0" width="11"/>
    <col collapsed="false" customWidth="true" hidden="false" outlineLevel="0" max="10" min="10" style="0" width="12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6" t="s">
        <v>287</v>
      </c>
    </row>
    <row r="3" customFormat="false" ht="15" hidden="false" customHeight="false" outlineLevel="0" collapsed="false">
      <c r="A3" s="8" t="s">
        <v>48</v>
      </c>
      <c r="B3" s="9" t="s">
        <v>49</v>
      </c>
      <c r="C3" s="9" t="s">
        <v>23</v>
      </c>
      <c r="D3" s="8" t="s">
        <v>288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5</v>
      </c>
      <c r="K3" s="8" t="s">
        <v>50</v>
      </c>
    </row>
    <row r="4" customFormat="false" ht="15" hidden="false" customHeight="false" outlineLevel="0" collapsed="false">
      <c r="A4" s="12" t="s">
        <v>289</v>
      </c>
      <c r="B4" s="10" t="s">
        <v>290</v>
      </c>
      <c r="C4" s="12" t="s">
        <v>33</v>
      </c>
      <c r="D4" s="12" t="s">
        <v>22</v>
      </c>
      <c r="E4" s="19" t="n">
        <v>1</v>
      </c>
      <c r="F4" s="19" t="n">
        <v>0.3</v>
      </c>
      <c r="G4" s="19" t="n">
        <v>1</v>
      </c>
      <c r="H4" s="19" t="n">
        <v>1</v>
      </c>
      <c r="I4" s="19" t="n">
        <v>1</v>
      </c>
      <c r="J4" s="18" t="s">
        <v>84</v>
      </c>
      <c r="K4" s="12" t="s">
        <v>291</v>
      </c>
    </row>
    <row r="5" customFormat="false" ht="15" hidden="false" customHeight="false" outlineLevel="0" collapsed="false">
      <c r="A5" s="12" t="s">
        <v>289</v>
      </c>
      <c r="B5" s="10" t="s">
        <v>290</v>
      </c>
      <c r="C5" s="12" t="s">
        <v>33</v>
      </c>
      <c r="D5" s="12" t="s">
        <v>45</v>
      </c>
      <c r="E5" s="19" t="n">
        <v>1</v>
      </c>
      <c r="F5" s="19" t="n">
        <v>0.5</v>
      </c>
      <c r="G5" s="19" t="n">
        <v>1</v>
      </c>
      <c r="H5" s="19" t="n">
        <v>1</v>
      </c>
      <c r="I5" s="19" t="n">
        <v>1</v>
      </c>
      <c r="J5" s="18" t="s">
        <v>84</v>
      </c>
      <c r="K5" s="12" t="s">
        <v>291</v>
      </c>
    </row>
    <row r="6" customFormat="false" ht="15" hidden="false" customHeight="false" outlineLevel="0" collapsed="false">
      <c r="A6" s="12" t="s">
        <v>289</v>
      </c>
      <c r="B6" s="10" t="s">
        <v>290</v>
      </c>
      <c r="C6" s="12" t="s">
        <v>33</v>
      </c>
      <c r="D6" s="12" t="s">
        <v>46</v>
      </c>
      <c r="E6" s="19" t="n">
        <v>1</v>
      </c>
      <c r="F6" s="19" t="n">
        <v>0.6</v>
      </c>
      <c r="G6" s="19" t="n">
        <v>1</v>
      </c>
      <c r="H6" s="19" t="n">
        <v>1</v>
      </c>
      <c r="I6" s="19" t="n">
        <v>1</v>
      </c>
      <c r="J6" s="18" t="s">
        <v>84</v>
      </c>
      <c r="K6" s="12" t="s">
        <v>291</v>
      </c>
    </row>
    <row r="8" customFormat="false" ht="15" hidden="false" customHeight="false" outlineLevel="0" collapsed="false">
      <c r="A8" s="12" t="s">
        <v>292</v>
      </c>
      <c r="B8" s="12" t="s">
        <v>293</v>
      </c>
      <c r="C8" s="12" t="s">
        <v>33</v>
      </c>
      <c r="D8" s="12" t="s">
        <v>22</v>
      </c>
      <c r="E8" s="23" t="n">
        <v>0.4</v>
      </c>
      <c r="F8" s="23" t="n">
        <v>0.45</v>
      </c>
      <c r="G8" s="23" t="n">
        <v>0.55</v>
      </c>
      <c r="H8" s="23" t="n">
        <v>0.62</v>
      </c>
      <c r="I8" s="23" t="n">
        <v>0.65</v>
      </c>
      <c r="J8" s="18" t="s">
        <v>294</v>
      </c>
      <c r="K8" s="12" t="s">
        <v>295</v>
      </c>
    </row>
    <row r="9" customFormat="false" ht="15" hidden="false" customHeight="false" outlineLevel="0" collapsed="false">
      <c r="A9" s="12" t="s">
        <v>292</v>
      </c>
      <c r="B9" s="12" t="s">
        <v>293</v>
      </c>
      <c r="C9" s="12" t="s">
        <v>33</v>
      </c>
      <c r="D9" s="12" t="s">
        <v>45</v>
      </c>
      <c r="E9" s="23" t="n">
        <v>0.4</v>
      </c>
      <c r="F9" s="23" t="n">
        <v>0.5</v>
      </c>
      <c r="G9" s="23" t="n">
        <v>0.65</v>
      </c>
      <c r="H9" s="23" t="n">
        <v>0.75</v>
      </c>
      <c r="I9" s="23" t="n">
        <v>0.8</v>
      </c>
      <c r="J9" s="18" t="s">
        <v>294</v>
      </c>
      <c r="K9" s="12" t="s">
        <v>295</v>
      </c>
    </row>
    <row r="10" customFormat="false" ht="15" hidden="false" customHeight="false" outlineLevel="0" collapsed="false">
      <c r="A10" s="12" t="s">
        <v>292</v>
      </c>
      <c r="B10" s="12" t="s">
        <v>293</v>
      </c>
      <c r="C10" s="12" t="s">
        <v>33</v>
      </c>
      <c r="D10" s="12" t="s">
        <v>46</v>
      </c>
      <c r="E10" s="23" t="n">
        <v>0.4</v>
      </c>
      <c r="F10" s="23" t="n">
        <v>0.55</v>
      </c>
      <c r="G10" s="23" t="n">
        <v>0.7</v>
      </c>
      <c r="H10" s="23" t="n">
        <v>0.8</v>
      </c>
      <c r="I10" s="23" t="n">
        <v>0.85</v>
      </c>
      <c r="J10" s="18" t="s">
        <v>294</v>
      </c>
      <c r="K10" s="12" t="s">
        <v>295</v>
      </c>
    </row>
    <row r="12" customFormat="false" ht="15" hidden="false" customHeight="false" outlineLevel="0" collapsed="false">
      <c r="A12" s="12" t="s">
        <v>296</v>
      </c>
      <c r="B12" s="12" t="s">
        <v>297</v>
      </c>
      <c r="C12" s="10" t="s">
        <v>152</v>
      </c>
      <c r="D12" s="12" t="s">
        <v>22</v>
      </c>
      <c r="E12" s="21" t="n">
        <v>1680</v>
      </c>
      <c r="F12" s="21" t="n">
        <v>1580</v>
      </c>
      <c r="G12" s="21" t="n">
        <v>1330</v>
      </c>
      <c r="H12" s="21" t="n">
        <v>1210</v>
      </c>
      <c r="I12" s="21" t="n">
        <v>1100</v>
      </c>
      <c r="J12" s="18" t="s">
        <v>84</v>
      </c>
      <c r="K12" s="12" t="s">
        <v>298</v>
      </c>
    </row>
    <row r="13" customFormat="false" ht="15" hidden="false" customHeight="false" outlineLevel="0" collapsed="false">
      <c r="A13" s="12" t="s">
        <v>296</v>
      </c>
      <c r="B13" s="12" t="s">
        <v>297</v>
      </c>
      <c r="C13" s="10" t="s">
        <v>152</v>
      </c>
      <c r="D13" s="12" t="s">
        <v>45</v>
      </c>
      <c r="E13" s="21" t="n">
        <v>1680</v>
      </c>
      <c r="F13" s="21" t="n">
        <v>1520</v>
      </c>
      <c r="G13" s="21" t="n">
        <v>1180</v>
      </c>
      <c r="H13" s="21" t="n">
        <v>1030</v>
      </c>
      <c r="I13" s="21" t="n">
        <v>915</v>
      </c>
      <c r="J13" s="18" t="s">
        <v>84</v>
      </c>
      <c r="K13" s="12" t="s">
        <v>298</v>
      </c>
    </row>
    <row r="14" customFormat="false" ht="15" hidden="false" customHeight="false" outlineLevel="0" collapsed="false">
      <c r="A14" s="12" t="s">
        <v>296</v>
      </c>
      <c r="B14" s="12" t="s">
        <v>297</v>
      </c>
      <c r="C14" s="10" t="s">
        <v>152</v>
      </c>
      <c r="D14" s="12" t="s">
        <v>46</v>
      </c>
      <c r="E14" s="21" t="n">
        <v>1680</v>
      </c>
      <c r="F14" s="21" t="n">
        <v>1460</v>
      </c>
      <c r="G14" s="21" t="n">
        <v>1100</v>
      </c>
      <c r="H14" s="21" t="n">
        <v>950</v>
      </c>
      <c r="I14" s="21" t="n">
        <v>820</v>
      </c>
      <c r="J14" s="18" t="s">
        <v>84</v>
      </c>
      <c r="K14" s="12" t="s">
        <v>298</v>
      </c>
    </row>
    <row r="16" customFormat="false" ht="15" hidden="false" customHeight="false" outlineLevel="0" collapsed="false">
      <c r="A16" s="12" t="s">
        <v>299</v>
      </c>
      <c r="B16" s="12" t="s">
        <v>300</v>
      </c>
      <c r="C16" s="10" t="s">
        <v>152</v>
      </c>
      <c r="D16" s="12" t="s">
        <v>22</v>
      </c>
      <c r="E16" s="21" t="n">
        <v>120</v>
      </c>
      <c r="F16" s="21" t="n">
        <v>100</v>
      </c>
      <c r="G16" s="21" t="n">
        <v>75</v>
      </c>
      <c r="H16" s="21" t="n">
        <v>62</v>
      </c>
      <c r="I16" s="21" t="n">
        <v>55</v>
      </c>
      <c r="J16" s="18" t="s">
        <v>84</v>
      </c>
      <c r="K16" s="12" t="s">
        <v>301</v>
      </c>
    </row>
    <row r="17" customFormat="false" ht="15" hidden="false" customHeight="false" outlineLevel="0" collapsed="false">
      <c r="A17" s="12" t="s">
        <v>299</v>
      </c>
      <c r="B17" s="12" t="s">
        <v>300</v>
      </c>
      <c r="C17" s="10" t="s">
        <v>152</v>
      </c>
      <c r="D17" s="12" t="s">
        <v>45</v>
      </c>
      <c r="E17" s="21" t="n">
        <v>120</v>
      </c>
      <c r="F17" s="21" t="n">
        <v>90</v>
      </c>
      <c r="G17" s="21" t="n">
        <v>60</v>
      </c>
      <c r="H17" s="21" t="n">
        <v>45</v>
      </c>
      <c r="I17" s="21" t="n">
        <v>38</v>
      </c>
      <c r="J17" s="18" t="s">
        <v>84</v>
      </c>
      <c r="K17" s="12" t="s">
        <v>301</v>
      </c>
    </row>
    <row r="18" customFormat="false" ht="15" hidden="false" customHeight="false" outlineLevel="0" collapsed="false">
      <c r="A18" s="12" t="s">
        <v>299</v>
      </c>
      <c r="B18" s="12" t="s">
        <v>300</v>
      </c>
      <c r="C18" s="10" t="s">
        <v>152</v>
      </c>
      <c r="D18" s="12" t="s">
        <v>46</v>
      </c>
      <c r="E18" s="21" t="n">
        <v>120</v>
      </c>
      <c r="F18" s="21" t="n">
        <v>85</v>
      </c>
      <c r="G18" s="21" t="n">
        <v>52</v>
      </c>
      <c r="H18" s="21" t="n">
        <v>38</v>
      </c>
      <c r="I18" s="21" t="n">
        <v>30</v>
      </c>
      <c r="J18" s="18" t="s">
        <v>84</v>
      </c>
      <c r="K18" s="12" t="s">
        <v>301</v>
      </c>
    </row>
    <row r="20" customFormat="false" ht="15" hidden="false" customHeight="false" outlineLevel="0" collapsed="false">
      <c r="A20" s="12" t="s">
        <v>302</v>
      </c>
      <c r="B20" s="12" t="s">
        <v>303</v>
      </c>
      <c r="C20" s="10" t="s">
        <v>152</v>
      </c>
      <c r="D20" s="12" t="s">
        <v>22</v>
      </c>
      <c r="E20" s="17" t="n">
        <v>160</v>
      </c>
      <c r="F20" s="17" t="n">
        <v>140</v>
      </c>
      <c r="G20" s="17" t="n">
        <v>110</v>
      </c>
      <c r="H20" s="17" t="n">
        <v>95</v>
      </c>
      <c r="I20" s="17" t="n">
        <v>85</v>
      </c>
      <c r="J20" s="18" t="s">
        <v>84</v>
      </c>
      <c r="K20" s="10" t="s">
        <v>304</v>
      </c>
    </row>
    <row r="21" customFormat="false" ht="15" hidden="false" customHeight="false" outlineLevel="0" collapsed="false">
      <c r="A21" s="12" t="s">
        <v>302</v>
      </c>
      <c r="B21" s="12" t="s">
        <v>303</v>
      </c>
      <c r="C21" s="10" t="s">
        <v>152</v>
      </c>
      <c r="D21" s="12" t="s">
        <v>45</v>
      </c>
      <c r="E21" s="17" t="n">
        <v>160</v>
      </c>
      <c r="F21" s="17" t="n">
        <v>130</v>
      </c>
      <c r="G21" s="17" t="n">
        <v>95</v>
      </c>
      <c r="H21" s="17" t="n">
        <v>75</v>
      </c>
      <c r="I21" s="17" t="n">
        <v>62</v>
      </c>
      <c r="J21" s="18" t="s">
        <v>84</v>
      </c>
      <c r="K21" s="10" t="s">
        <v>304</v>
      </c>
    </row>
    <row r="22" customFormat="false" ht="15" hidden="false" customHeight="false" outlineLevel="0" collapsed="false">
      <c r="A22" s="12" t="s">
        <v>302</v>
      </c>
      <c r="B22" s="12" t="s">
        <v>303</v>
      </c>
      <c r="C22" s="10" t="s">
        <v>152</v>
      </c>
      <c r="D22" s="12" t="s">
        <v>46</v>
      </c>
      <c r="E22" s="17" t="n">
        <v>160</v>
      </c>
      <c r="F22" s="17" t="n">
        <v>120</v>
      </c>
      <c r="G22" s="17" t="n">
        <v>85</v>
      </c>
      <c r="H22" s="17" t="n">
        <v>65</v>
      </c>
      <c r="I22" s="17" t="n">
        <v>52</v>
      </c>
      <c r="J22" s="18" t="s">
        <v>84</v>
      </c>
      <c r="K22" s="10" t="s">
        <v>304</v>
      </c>
    </row>
    <row r="24" customFormat="false" ht="15" hidden="false" customHeight="false" outlineLevel="0" collapsed="false">
      <c r="A24" s="12" t="s">
        <v>305</v>
      </c>
      <c r="B24" s="10" t="s">
        <v>306</v>
      </c>
      <c r="C24" s="10" t="s">
        <v>178</v>
      </c>
      <c r="D24" s="12" t="s">
        <v>22</v>
      </c>
      <c r="E24" s="20" t="n">
        <v>2</v>
      </c>
      <c r="F24" s="20" t="n">
        <v>2</v>
      </c>
      <c r="G24" s="20" t="n">
        <v>2</v>
      </c>
      <c r="H24" s="20" t="n">
        <v>2</v>
      </c>
      <c r="I24" s="20" t="n">
        <v>2</v>
      </c>
      <c r="J24" s="18" t="s">
        <v>84</v>
      </c>
      <c r="K24" s="10" t="s">
        <v>307</v>
      </c>
    </row>
    <row r="25" customFormat="false" ht="15" hidden="false" customHeight="false" outlineLevel="0" collapsed="false">
      <c r="A25" s="12" t="s">
        <v>305</v>
      </c>
      <c r="B25" s="10" t="s">
        <v>306</v>
      </c>
      <c r="C25" s="10" t="s">
        <v>178</v>
      </c>
      <c r="D25" s="12" t="s">
        <v>45</v>
      </c>
      <c r="E25" s="20" t="n">
        <v>2</v>
      </c>
      <c r="F25" s="20" t="n">
        <v>2</v>
      </c>
      <c r="G25" s="20" t="n">
        <v>2</v>
      </c>
      <c r="H25" s="20" t="n">
        <v>1.5</v>
      </c>
      <c r="I25" s="20" t="n">
        <v>1.5</v>
      </c>
      <c r="J25" s="18" t="s">
        <v>84</v>
      </c>
      <c r="K25" s="10" t="s">
        <v>307</v>
      </c>
    </row>
    <row r="26" customFormat="false" ht="15" hidden="false" customHeight="false" outlineLevel="0" collapsed="false">
      <c r="A26" s="12" t="s">
        <v>305</v>
      </c>
      <c r="B26" s="10" t="s">
        <v>306</v>
      </c>
      <c r="C26" s="10" t="s">
        <v>178</v>
      </c>
      <c r="D26" s="12" t="s">
        <v>46</v>
      </c>
      <c r="E26" s="20" t="n">
        <v>2</v>
      </c>
      <c r="F26" s="20" t="n">
        <v>2</v>
      </c>
      <c r="G26" s="20" t="n">
        <v>1.5</v>
      </c>
      <c r="H26" s="20" t="n">
        <v>1.2</v>
      </c>
      <c r="I26" s="20" t="n">
        <v>1</v>
      </c>
      <c r="J26" s="18" t="s">
        <v>84</v>
      </c>
      <c r="K26" s="10" t="s">
        <v>307</v>
      </c>
    </row>
    <row r="28" customFormat="false" ht="15" hidden="false" customHeight="false" outlineLevel="0" collapsed="false">
      <c r="A28" s="12" t="s">
        <v>308</v>
      </c>
      <c r="B28" s="10" t="s">
        <v>309</v>
      </c>
      <c r="C28" s="10" t="s">
        <v>232</v>
      </c>
      <c r="D28" s="12" t="s">
        <v>22</v>
      </c>
      <c r="E28" s="21" t="n">
        <v>15</v>
      </c>
      <c r="F28" s="21" t="n">
        <v>14</v>
      </c>
      <c r="G28" s="21" t="n">
        <v>12.5</v>
      </c>
      <c r="H28" s="21" t="n">
        <v>11</v>
      </c>
      <c r="I28" s="21" t="n">
        <v>10</v>
      </c>
      <c r="J28" s="18" t="s">
        <v>84</v>
      </c>
      <c r="K28" s="10" t="s">
        <v>310</v>
      </c>
    </row>
    <row r="29" customFormat="false" ht="15" hidden="false" customHeight="false" outlineLevel="0" collapsed="false">
      <c r="A29" s="12" t="s">
        <v>308</v>
      </c>
      <c r="B29" s="10" t="s">
        <v>309</v>
      </c>
      <c r="C29" s="10" t="s">
        <v>232</v>
      </c>
      <c r="D29" s="12" t="s">
        <v>45</v>
      </c>
      <c r="E29" s="21" t="n">
        <v>15</v>
      </c>
      <c r="F29" s="21" t="n">
        <v>13</v>
      </c>
      <c r="G29" s="21" t="n">
        <v>11</v>
      </c>
      <c r="H29" s="21" t="n">
        <v>9</v>
      </c>
      <c r="I29" s="21" t="n">
        <v>8</v>
      </c>
      <c r="J29" s="18" t="s">
        <v>84</v>
      </c>
      <c r="K29" s="10" t="s">
        <v>310</v>
      </c>
    </row>
    <row r="30" customFormat="false" ht="15" hidden="false" customHeight="false" outlineLevel="0" collapsed="false">
      <c r="A30" s="12" t="s">
        <v>308</v>
      </c>
      <c r="B30" s="10" t="s">
        <v>309</v>
      </c>
      <c r="C30" s="10" t="s">
        <v>232</v>
      </c>
      <c r="D30" s="12" t="s">
        <v>46</v>
      </c>
      <c r="E30" s="21" t="n">
        <v>15</v>
      </c>
      <c r="F30" s="21" t="n">
        <v>12</v>
      </c>
      <c r="G30" s="21" t="n">
        <v>10</v>
      </c>
      <c r="H30" s="21" t="n">
        <v>8</v>
      </c>
      <c r="I30" s="21" t="n">
        <v>7</v>
      </c>
      <c r="J30" s="18" t="s">
        <v>84</v>
      </c>
      <c r="K30" s="10" t="s">
        <v>310</v>
      </c>
    </row>
    <row r="32" customFormat="false" ht="15" hidden="false" customHeight="false" outlineLevel="0" collapsed="false">
      <c r="A32" s="12" t="s">
        <v>311</v>
      </c>
      <c r="B32" s="12" t="s">
        <v>312</v>
      </c>
      <c r="C32" s="10" t="s">
        <v>39</v>
      </c>
      <c r="D32" s="12" t="s">
        <v>22</v>
      </c>
      <c r="E32" s="21" t="n">
        <v>0</v>
      </c>
      <c r="F32" s="21" t="n">
        <v>3</v>
      </c>
      <c r="G32" s="21" t="n">
        <v>20</v>
      </c>
      <c r="H32" s="21" t="n">
        <v>35</v>
      </c>
      <c r="I32" s="21" t="n">
        <v>40</v>
      </c>
      <c r="J32" s="18" t="s">
        <v>294</v>
      </c>
      <c r="K32" s="12" t="s">
        <v>313</v>
      </c>
    </row>
    <row r="33" customFormat="false" ht="15" hidden="false" customHeight="false" outlineLevel="0" collapsed="false">
      <c r="A33" s="12" t="s">
        <v>311</v>
      </c>
      <c r="B33" s="12" t="s">
        <v>312</v>
      </c>
      <c r="C33" s="10" t="s">
        <v>39</v>
      </c>
      <c r="D33" s="12" t="s">
        <v>45</v>
      </c>
      <c r="E33" s="21" t="n">
        <v>0</v>
      </c>
      <c r="F33" s="21" t="n">
        <v>3</v>
      </c>
      <c r="G33" s="21" t="n">
        <v>30</v>
      </c>
      <c r="H33" s="21" t="n">
        <v>50</v>
      </c>
      <c r="I33" s="21" t="n">
        <v>60</v>
      </c>
      <c r="J33" s="18" t="s">
        <v>294</v>
      </c>
      <c r="K33" s="12" t="s">
        <v>313</v>
      </c>
    </row>
    <row r="34" customFormat="false" ht="15" hidden="false" customHeight="false" outlineLevel="0" collapsed="false">
      <c r="A34" s="12" t="s">
        <v>311</v>
      </c>
      <c r="B34" s="12" t="s">
        <v>312</v>
      </c>
      <c r="C34" s="10" t="s">
        <v>39</v>
      </c>
      <c r="D34" s="12" t="s">
        <v>46</v>
      </c>
      <c r="E34" s="21" t="n">
        <v>0</v>
      </c>
      <c r="F34" s="21" t="n">
        <v>3</v>
      </c>
      <c r="G34" s="21" t="n">
        <v>35</v>
      </c>
      <c r="H34" s="21" t="n">
        <v>60</v>
      </c>
      <c r="I34" s="21" t="n">
        <v>70</v>
      </c>
      <c r="J34" s="18" t="s">
        <v>294</v>
      </c>
      <c r="K34" s="12" t="s">
        <v>313</v>
      </c>
    </row>
    <row r="36" customFormat="false" ht="15" hidden="false" customHeight="false" outlineLevel="0" collapsed="false">
      <c r="A36" s="12" t="s">
        <v>314</v>
      </c>
      <c r="B36" s="12" t="s">
        <v>315</v>
      </c>
      <c r="C36" s="10" t="s">
        <v>39</v>
      </c>
      <c r="D36" s="12" t="s">
        <v>22</v>
      </c>
      <c r="E36" s="21" t="n">
        <v>0</v>
      </c>
      <c r="F36" s="21" t="n">
        <v>0</v>
      </c>
      <c r="G36" s="21" t="n">
        <v>10</v>
      </c>
      <c r="H36" s="21" t="n">
        <v>60</v>
      </c>
      <c r="I36" s="21" t="n">
        <v>150</v>
      </c>
      <c r="J36" s="18" t="s">
        <v>294</v>
      </c>
      <c r="K36" s="12" t="s">
        <v>316</v>
      </c>
    </row>
    <row r="37" customFormat="false" ht="15" hidden="false" customHeight="false" outlineLevel="0" collapsed="false">
      <c r="A37" s="12" t="s">
        <v>314</v>
      </c>
      <c r="B37" s="12" t="s">
        <v>315</v>
      </c>
      <c r="C37" s="10" t="s">
        <v>39</v>
      </c>
      <c r="D37" s="12" t="s">
        <v>45</v>
      </c>
      <c r="E37" s="21" t="n">
        <v>0</v>
      </c>
      <c r="F37" s="21" t="n">
        <v>0</v>
      </c>
      <c r="G37" s="21" t="n">
        <v>20</v>
      </c>
      <c r="H37" s="21" t="n">
        <v>130</v>
      </c>
      <c r="I37" s="21" t="n">
        <v>340</v>
      </c>
      <c r="J37" s="18" t="s">
        <v>294</v>
      </c>
      <c r="K37" s="12" t="s">
        <v>316</v>
      </c>
    </row>
    <row r="38" customFormat="false" ht="15" hidden="false" customHeight="false" outlineLevel="0" collapsed="false">
      <c r="A38" s="12" t="s">
        <v>314</v>
      </c>
      <c r="B38" s="12" t="s">
        <v>315</v>
      </c>
      <c r="C38" s="10" t="s">
        <v>39</v>
      </c>
      <c r="D38" s="12" t="s">
        <v>46</v>
      </c>
      <c r="E38" s="21" t="n">
        <v>0</v>
      </c>
      <c r="F38" s="21" t="n">
        <v>0</v>
      </c>
      <c r="G38" s="21" t="n">
        <v>30</v>
      </c>
      <c r="H38" s="21" t="n">
        <v>220</v>
      </c>
      <c r="I38" s="21" t="n">
        <v>600</v>
      </c>
      <c r="J38" s="18" t="s">
        <v>294</v>
      </c>
      <c r="K38" s="12" t="s">
        <v>316</v>
      </c>
    </row>
    <row r="40" customFormat="false" ht="15" hidden="false" customHeight="false" outlineLevel="0" collapsed="false">
      <c r="A40" s="12" t="s">
        <v>317</v>
      </c>
      <c r="B40" s="12" t="s">
        <v>318</v>
      </c>
      <c r="C40" s="10" t="s">
        <v>39</v>
      </c>
      <c r="D40" s="12" t="s">
        <v>22</v>
      </c>
      <c r="E40" s="21" t="n">
        <v>0</v>
      </c>
      <c r="F40" s="21" t="n">
        <v>0</v>
      </c>
      <c r="G40" s="21" t="n">
        <v>0</v>
      </c>
      <c r="H40" s="21" t="n">
        <v>10</v>
      </c>
      <c r="I40" s="21" t="n">
        <v>40</v>
      </c>
      <c r="J40" s="18" t="s">
        <v>294</v>
      </c>
      <c r="K40" s="12" t="s">
        <v>319</v>
      </c>
    </row>
    <row r="41" customFormat="false" ht="15" hidden="false" customHeight="false" outlineLevel="0" collapsed="false">
      <c r="A41" s="12" t="s">
        <v>317</v>
      </c>
      <c r="B41" s="12" t="s">
        <v>318</v>
      </c>
      <c r="C41" s="10" t="s">
        <v>39</v>
      </c>
      <c r="D41" s="12" t="s">
        <v>45</v>
      </c>
      <c r="E41" s="21" t="n">
        <v>0</v>
      </c>
      <c r="F41" s="21" t="n">
        <v>0</v>
      </c>
      <c r="G41" s="21" t="n">
        <v>0</v>
      </c>
      <c r="H41" s="21" t="n">
        <v>20</v>
      </c>
      <c r="I41" s="21" t="n">
        <v>80</v>
      </c>
      <c r="J41" s="18" t="s">
        <v>294</v>
      </c>
      <c r="K41" s="12" t="s">
        <v>319</v>
      </c>
    </row>
    <row r="42" customFormat="false" ht="15" hidden="false" customHeight="false" outlineLevel="0" collapsed="false">
      <c r="A42" s="12" t="s">
        <v>317</v>
      </c>
      <c r="B42" s="12" t="s">
        <v>318</v>
      </c>
      <c r="C42" s="10" t="s">
        <v>39</v>
      </c>
      <c r="D42" s="12" t="s">
        <v>46</v>
      </c>
      <c r="E42" s="21" t="n">
        <v>0</v>
      </c>
      <c r="F42" s="21" t="n">
        <v>0</v>
      </c>
      <c r="G42" s="21" t="n">
        <v>0</v>
      </c>
      <c r="H42" s="21" t="n">
        <v>30</v>
      </c>
      <c r="I42" s="21" t="n">
        <v>120</v>
      </c>
      <c r="J42" s="18" t="s">
        <v>294</v>
      </c>
      <c r="K42" s="12" t="s">
        <v>319</v>
      </c>
    </row>
    <row r="44" customFormat="false" ht="15" hidden="false" customHeight="false" outlineLevel="0" collapsed="false">
      <c r="A44" s="12" t="s">
        <v>320</v>
      </c>
      <c r="B44" s="12" t="s">
        <v>321</v>
      </c>
      <c r="C44" s="12" t="s">
        <v>33</v>
      </c>
      <c r="D44" s="12" t="s">
        <v>22</v>
      </c>
      <c r="E44" s="23" t="n">
        <v>1</v>
      </c>
      <c r="F44" s="23" t="n">
        <v>1</v>
      </c>
      <c r="G44" s="23" t="n">
        <v>0.75</v>
      </c>
      <c r="H44" s="23" t="n">
        <v>0.75</v>
      </c>
      <c r="I44" s="23" t="n">
        <v>0.75</v>
      </c>
      <c r="J44" s="18" t="s">
        <v>84</v>
      </c>
      <c r="K44" s="10" t="s">
        <v>322</v>
      </c>
    </row>
    <row r="45" customFormat="false" ht="15" hidden="false" customHeight="false" outlineLevel="0" collapsed="false">
      <c r="A45" s="12" t="s">
        <v>320</v>
      </c>
      <c r="B45" s="12" t="s">
        <v>321</v>
      </c>
      <c r="C45" s="12" t="s">
        <v>33</v>
      </c>
      <c r="D45" s="12" t="s">
        <v>45</v>
      </c>
      <c r="E45" s="23" t="n">
        <v>1</v>
      </c>
      <c r="F45" s="23" t="n">
        <v>1</v>
      </c>
      <c r="G45" s="23" t="n">
        <v>0.85</v>
      </c>
      <c r="H45" s="23" t="n">
        <v>0.85</v>
      </c>
      <c r="I45" s="23" t="n">
        <v>0.85</v>
      </c>
      <c r="J45" s="18" t="s">
        <v>84</v>
      </c>
      <c r="K45" s="10" t="s">
        <v>322</v>
      </c>
    </row>
    <row r="46" customFormat="false" ht="15" hidden="false" customHeight="false" outlineLevel="0" collapsed="false">
      <c r="A46" s="12" t="s">
        <v>320</v>
      </c>
      <c r="B46" s="12" t="s">
        <v>321</v>
      </c>
      <c r="C46" s="12" t="s">
        <v>33</v>
      </c>
      <c r="D46" s="12" t="s">
        <v>46</v>
      </c>
      <c r="E46" s="23" t="n">
        <v>1</v>
      </c>
      <c r="F46" s="23" t="n">
        <v>1</v>
      </c>
      <c r="G46" s="23" t="n">
        <v>0.85</v>
      </c>
      <c r="H46" s="23" t="n">
        <v>0.85</v>
      </c>
      <c r="I46" s="23" t="n">
        <v>0.85</v>
      </c>
      <c r="J46" s="18" t="s">
        <v>84</v>
      </c>
      <c r="K46" s="10" t="s">
        <v>322</v>
      </c>
    </row>
    <row r="48" customFormat="false" ht="15" hidden="false" customHeight="false" outlineLevel="0" collapsed="false">
      <c r="A48" s="12" t="s">
        <v>323</v>
      </c>
      <c r="B48" s="12" t="s">
        <v>324</v>
      </c>
      <c r="C48" s="12" t="s">
        <v>33</v>
      </c>
      <c r="D48" s="12" t="s">
        <v>22</v>
      </c>
      <c r="E48" s="19" t="n">
        <v>0</v>
      </c>
      <c r="F48" s="19" t="n">
        <v>0.3</v>
      </c>
      <c r="G48" s="19" t="n">
        <v>0.3</v>
      </c>
      <c r="H48" s="19" t="n">
        <v>0.35</v>
      </c>
      <c r="I48" s="19" t="n">
        <v>0.35</v>
      </c>
      <c r="J48" s="18" t="s">
        <v>84</v>
      </c>
      <c r="K48" s="12"/>
    </row>
    <row r="49" customFormat="false" ht="15" hidden="false" customHeight="false" outlineLevel="0" collapsed="false">
      <c r="A49" s="12" t="s">
        <v>323</v>
      </c>
      <c r="B49" s="12" t="s">
        <v>324</v>
      </c>
      <c r="C49" s="12" t="s">
        <v>33</v>
      </c>
      <c r="D49" s="12" t="s">
        <v>45</v>
      </c>
      <c r="E49" s="19" t="n">
        <v>0</v>
      </c>
      <c r="F49" s="19" t="n">
        <v>0.3</v>
      </c>
      <c r="G49" s="19" t="n">
        <v>0.3</v>
      </c>
      <c r="H49" s="19" t="n">
        <v>0.4</v>
      </c>
      <c r="I49" s="19" t="n">
        <v>0.4</v>
      </c>
      <c r="J49" s="18" t="s">
        <v>84</v>
      </c>
      <c r="K49" s="12"/>
    </row>
    <row r="50" customFormat="false" ht="15" hidden="false" customHeight="false" outlineLevel="0" collapsed="false">
      <c r="A50" s="12" t="s">
        <v>323</v>
      </c>
      <c r="B50" s="12" t="s">
        <v>324</v>
      </c>
      <c r="C50" s="12" t="s">
        <v>33</v>
      </c>
      <c r="D50" s="12" t="s">
        <v>46</v>
      </c>
      <c r="E50" s="19" t="n">
        <v>0</v>
      </c>
      <c r="F50" s="19" t="n">
        <v>0.3</v>
      </c>
      <c r="G50" s="19" t="n">
        <v>0.3</v>
      </c>
      <c r="H50" s="19" t="n">
        <v>0.45</v>
      </c>
      <c r="I50" s="19" t="n">
        <v>0.45</v>
      </c>
      <c r="J50" s="18" t="s">
        <v>84</v>
      </c>
      <c r="K50" s="12"/>
    </row>
    <row r="52" customFormat="false" ht="15" hidden="false" customHeight="false" outlineLevel="0" collapsed="false">
      <c r="A52" s="12" t="s">
        <v>325</v>
      </c>
      <c r="B52" s="12" t="s">
        <v>326</v>
      </c>
      <c r="C52" s="12" t="s">
        <v>327</v>
      </c>
      <c r="D52" s="12" t="s">
        <v>22</v>
      </c>
      <c r="E52" s="17" t="n">
        <v>0</v>
      </c>
      <c r="F52" s="17" t="n">
        <v>0</v>
      </c>
      <c r="G52" s="17" t="n">
        <v>0</v>
      </c>
      <c r="H52" s="17" t="n">
        <v>1</v>
      </c>
      <c r="I52" s="17" t="n">
        <v>1</v>
      </c>
      <c r="J52" s="18" t="s">
        <v>84</v>
      </c>
      <c r="K52" s="12"/>
    </row>
    <row r="53" customFormat="false" ht="15" hidden="false" customHeight="false" outlineLevel="0" collapsed="false">
      <c r="A53" s="12" t="s">
        <v>325</v>
      </c>
      <c r="B53" s="12" t="s">
        <v>326</v>
      </c>
      <c r="C53" s="12" t="s">
        <v>327</v>
      </c>
      <c r="D53" s="12" t="s">
        <v>45</v>
      </c>
      <c r="E53" s="17" t="n">
        <v>0</v>
      </c>
      <c r="F53" s="17" t="n">
        <v>0</v>
      </c>
      <c r="G53" s="17" t="n">
        <v>0</v>
      </c>
      <c r="H53" s="17" t="n">
        <v>1</v>
      </c>
      <c r="I53" s="17" t="n">
        <v>1</v>
      </c>
      <c r="J53" s="18" t="s">
        <v>84</v>
      </c>
      <c r="K53" s="12"/>
    </row>
    <row r="54" customFormat="false" ht="15" hidden="false" customHeight="false" outlineLevel="0" collapsed="false">
      <c r="A54" s="12" t="s">
        <v>325</v>
      </c>
      <c r="B54" s="12" t="s">
        <v>326</v>
      </c>
      <c r="C54" s="12" t="s">
        <v>327</v>
      </c>
      <c r="D54" s="12" t="s">
        <v>46</v>
      </c>
      <c r="E54" s="17" t="n">
        <v>0</v>
      </c>
      <c r="F54" s="17" t="n">
        <v>0</v>
      </c>
      <c r="G54" s="17" t="n">
        <v>0</v>
      </c>
      <c r="H54" s="17" t="n">
        <v>1</v>
      </c>
      <c r="I54" s="17" t="n">
        <v>1</v>
      </c>
      <c r="J54" s="18" t="s">
        <v>84</v>
      </c>
      <c r="K54" s="12"/>
    </row>
    <row r="56" customFormat="false" ht="15" hidden="false" customHeight="false" outlineLevel="0" collapsed="false">
      <c r="A56" s="12" t="s">
        <v>328</v>
      </c>
      <c r="B56" s="10" t="s">
        <v>329</v>
      </c>
      <c r="C56" s="10" t="s">
        <v>330</v>
      </c>
      <c r="D56" s="12" t="s">
        <v>22</v>
      </c>
      <c r="E56" s="17" t="n">
        <v>0</v>
      </c>
      <c r="F56" s="17" t="n">
        <v>0</v>
      </c>
      <c r="G56" s="17" t="n">
        <v>0</v>
      </c>
      <c r="H56" s="17" t="n">
        <v>1</v>
      </c>
      <c r="I56" s="17" t="n">
        <v>2</v>
      </c>
      <c r="J56" s="18" t="s">
        <v>294</v>
      </c>
      <c r="K56" s="10" t="s">
        <v>331</v>
      </c>
    </row>
    <row r="57" customFormat="false" ht="15" hidden="false" customHeight="false" outlineLevel="0" collapsed="false">
      <c r="A57" s="12" t="s">
        <v>328</v>
      </c>
      <c r="B57" s="10" t="s">
        <v>329</v>
      </c>
      <c r="C57" s="10" t="s">
        <v>330</v>
      </c>
      <c r="D57" s="12" t="s">
        <v>45</v>
      </c>
      <c r="E57" s="17" t="n">
        <v>0</v>
      </c>
      <c r="F57" s="17" t="n">
        <v>0</v>
      </c>
      <c r="G57" s="17" t="n">
        <v>1</v>
      </c>
      <c r="H57" s="17" t="n">
        <v>2</v>
      </c>
      <c r="I57" s="17" t="n">
        <v>3</v>
      </c>
      <c r="J57" s="18" t="s">
        <v>294</v>
      </c>
      <c r="K57" s="10" t="s">
        <v>331</v>
      </c>
    </row>
    <row r="58" customFormat="false" ht="15" hidden="false" customHeight="false" outlineLevel="0" collapsed="false">
      <c r="A58" s="12" t="s">
        <v>328</v>
      </c>
      <c r="B58" s="10" t="s">
        <v>329</v>
      </c>
      <c r="C58" s="10" t="s">
        <v>330</v>
      </c>
      <c r="D58" s="12" t="s">
        <v>46</v>
      </c>
      <c r="E58" s="17" t="n">
        <v>0</v>
      </c>
      <c r="F58" s="17" t="n">
        <v>0</v>
      </c>
      <c r="G58" s="17" t="n">
        <v>2</v>
      </c>
      <c r="H58" s="17" t="n">
        <v>3</v>
      </c>
      <c r="I58" s="17" t="n">
        <v>4</v>
      </c>
      <c r="J58" s="18" t="s">
        <v>294</v>
      </c>
      <c r="K58" s="10" t="s">
        <v>331</v>
      </c>
    </row>
    <row r="60" customFormat="false" ht="15" hidden="false" customHeight="false" outlineLevel="0" collapsed="false">
      <c r="A60" s="12" t="s">
        <v>332</v>
      </c>
      <c r="B60" s="10" t="s">
        <v>333</v>
      </c>
      <c r="C60" s="10" t="s">
        <v>334</v>
      </c>
      <c r="D60" s="12" t="s">
        <v>22</v>
      </c>
      <c r="E60" s="17" t="n">
        <v>7.04166666666667</v>
      </c>
      <c r="F60" s="17" t="n">
        <v>12.75</v>
      </c>
      <c r="G60" s="17" t="n">
        <v>20</v>
      </c>
      <c r="H60" s="17" t="n">
        <v>32</v>
      </c>
      <c r="I60" s="17" t="n">
        <v>42</v>
      </c>
      <c r="J60" s="18" t="s">
        <v>84</v>
      </c>
      <c r="K60" s="12" t="s">
        <v>335</v>
      </c>
    </row>
    <row r="61" customFormat="false" ht="15" hidden="false" customHeight="false" outlineLevel="0" collapsed="false">
      <c r="A61" s="12" t="s">
        <v>332</v>
      </c>
      <c r="B61" s="10" t="s">
        <v>333</v>
      </c>
      <c r="C61" s="10" t="s">
        <v>334</v>
      </c>
      <c r="D61" s="12" t="s">
        <v>45</v>
      </c>
      <c r="E61" s="17" t="n">
        <v>7.04166666666667</v>
      </c>
      <c r="F61" s="17" t="n">
        <v>12.75</v>
      </c>
      <c r="G61" s="17" t="n">
        <v>20</v>
      </c>
      <c r="H61" s="17" t="n">
        <v>32</v>
      </c>
      <c r="I61" s="17" t="n">
        <v>42</v>
      </c>
      <c r="J61" s="18" t="s">
        <v>84</v>
      </c>
      <c r="K61" s="12" t="s">
        <v>335</v>
      </c>
    </row>
    <row r="62" customFormat="false" ht="15" hidden="false" customHeight="false" outlineLevel="0" collapsed="false">
      <c r="A62" s="12" t="s">
        <v>332</v>
      </c>
      <c r="B62" s="10" t="s">
        <v>333</v>
      </c>
      <c r="C62" s="10" t="s">
        <v>334</v>
      </c>
      <c r="D62" s="12" t="s">
        <v>46</v>
      </c>
      <c r="E62" s="17" t="n">
        <v>7.04166666666667</v>
      </c>
      <c r="F62" s="17" t="n">
        <v>12.75</v>
      </c>
      <c r="G62" s="17" t="n">
        <v>20</v>
      </c>
      <c r="H62" s="17" t="n">
        <v>32</v>
      </c>
      <c r="I62" s="17" t="n">
        <v>42</v>
      </c>
      <c r="J62" s="18" t="s">
        <v>84</v>
      </c>
      <c r="K62" s="12" t="s">
        <v>335</v>
      </c>
    </row>
    <row r="64" customFormat="false" ht="15" hidden="false" customHeight="false" outlineLevel="0" collapsed="false">
      <c r="A64" s="12" t="s">
        <v>336</v>
      </c>
      <c r="B64" s="10" t="s">
        <v>337</v>
      </c>
      <c r="C64" s="10" t="s">
        <v>167</v>
      </c>
      <c r="D64" s="12" t="s">
        <v>22</v>
      </c>
      <c r="E64" s="17" t="n">
        <v>7927.81065088757</v>
      </c>
      <c r="F64" s="17" t="n">
        <v>7611.76470588235</v>
      </c>
      <c r="G64" s="17" t="n">
        <v>8500</v>
      </c>
      <c r="H64" s="17" t="n">
        <v>8500</v>
      </c>
      <c r="I64" s="17" t="n">
        <v>8500</v>
      </c>
      <c r="J64" s="18" t="s">
        <v>84</v>
      </c>
      <c r="K64" s="12" t="s">
        <v>338</v>
      </c>
    </row>
    <row r="65" customFormat="false" ht="15" hidden="false" customHeight="false" outlineLevel="0" collapsed="false">
      <c r="A65" s="12" t="s">
        <v>336</v>
      </c>
      <c r="B65" s="10" t="s">
        <v>337</v>
      </c>
      <c r="C65" s="10" t="s">
        <v>167</v>
      </c>
      <c r="D65" s="12" t="s">
        <v>45</v>
      </c>
      <c r="E65" s="17" t="n">
        <v>7927.81065088757</v>
      </c>
      <c r="F65" s="17" t="n">
        <v>7611.76470588235</v>
      </c>
      <c r="G65" s="17" t="n">
        <v>8500</v>
      </c>
      <c r="H65" s="17" t="n">
        <v>8500</v>
      </c>
      <c r="I65" s="17" t="n">
        <v>8500</v>
      </c>
      <c r="J65" s="18" t="s">
        <v>84</v>
      </c>
      <c r="K65" s="12" t="s">
        <v>338</v>
      </c>
    </row>
    <row r="66" customFormat="false" ht="15" hidden="false" customHeight="false" outlineLevel="0" collapsed="false">
      <c r="A66" s="12" t="s">
        <v>336</v>
      </c>
      <c r="B66" s="10" t="s">
        <v>337</v>
      </c>
      <c r="C66" s="10" t="s">
        <v>167</v>
      </c>
      <c r="D66" s="12" t="s">
        <v>46</v>
      </c>
      <c r="E66" s="17" t="n">
        <v>7927.81065088757</v>
      </c>
      <c r="F66" s="17" t="n">
        <v>7611.76470588235</v>
      </c>
      <c r="G66" s="17" t="n">
        <v>8500</v>
      </c>
      <c r="H66" s="17" t="n">
        <v>8500</v>
      </c>
      <c r="I66" s="17" t="n">
        <v>8500</v>
      </c>
      <c r="J66" s="18" t="s">
        <v>84</v>
      </c>
      <c r="K66" s="12" t="s">
        <v>338</v>
      </c>
    </row>
    <row r="68" customFormat="false" ht="15" hidden="false" customHeight="false" outlineLevel="0" collapsed="false">
      <c r="A68" s="12" t="s">
        <v>339</v>
      </c>
      <c r="B68" s="12" t="s">
        <v>340</v>
      </c>
      <c r="C68" s="10" t="s">
        <v>194</v>
      </c>
      <c r="D68" s="12" t="s">
        <v>22</v>
      </c>
      <c r="E68" s="17" t="n">
        <v>4800</v>
      </c>
      <c r="F68" s="17" t="n">
        <v>1600</v>
      </c>
      <c r="G68" s="17" t="n">
        <v>12000</v>
      </c>
      <c r="H68" s="17" t="n">
        <v>14000</v>
      </c>
      <c r="I68" s="17" t="n">
        <v>16000</v>
      </c>
      <c r="J68" s="18" t="s">
        <v>84</v>
      </c>
      <c r="K68" s="12"/>
    </row>
    <row r="69" customFormat="false" ht="15" hidden="false" customHeight="false" outlineLevel="0" collapsed="false">
      <c r="A69" s="12" t="s">
        <v>339</v>
      </c>
      <c r="B69" s="12" t="s">
        <v>340</v>
      </c>
      <c r="C69" s="10" t="s">
        <v>194</v>
      </c>
      <c r="D69" s="12" t="s">
        <v>45</v>
      </c>
      <c r="E69" s="17" t="n">
        <v>4800</v>
      </c>
      <c r="F69" s="17" t="n">
        <v>1600</v>
      </c>
      <c r="G69" s="17" t="n">
        <v>12000</v>
      </c>
      <c r="H69" s="17" t="n">
        <v>14000</v>
      </c>
      <c r="I69" s="17" t="n">
        <v>16000</v>
      </c>
      <c r="J69" s="18" t="s">
        <v>84</v>
      </c>
      <c r="K69" s="12"/>
    </row>
    <row r="70" customFormat="false" ht="15" hidden="false" customHeight="false" outlineLevel="0" collapsed="false">
      <c r="A70" s="12" t="s">
        <v>339</v>
      </c>
      <c r="B70" s="12" t="s">
        <v>340</v>
      </c>
      <c r="C70" s="10" t="s">
        <v>194</v>
      </c>
      <c r="D70" s="12" t="s">
        <v>46</v>
      </c>
      <c r="E70" s="17" t="n">
        <v>4800</v>
      </c>
      <c r="F70" s="17" t="n">
        <v>1600</v>
      </c>
      <c r="G70" s="17" t="n">
        <v>12000</v>
      </c>
      <c r="H70" s="17" t="n">
        <v>14000</v>
      </c>
      <c r="I70" s="17" t="n">
        <v>16000</v>
      </c>
      <c r="J70" s="18" t="s">
        <v>84</v>
      </c>
      <c r="K70" s="12"/>
    </row>
    <row r="72" customFormat="false" ht="15" hidden="false" customHeight="false" outlineLevel="0" collapsed="false">
      <c r="A72" s="12" t="s">
        <v>341</v>
      </c>
      <c r="B72" s="12" t="s">
        <v>342</v>
      </c>
      <c r="C72" s="10" t="s">
        <v>194</v>
      </c>
      <c r="D72" s="12" t="s">
        <v>22</v>
      </c>
      <c r="E72" s="17" t="n">
        <v>6000</v>
      </c>
      <c r="F72" s="17" t="n">
        <v>4000</v>
      </c>
      <c r="G72" s="17" t="n">
        <v>10000</v>
      </c>
      <c r="H72" s="17" t="n">
        <v>12000</v>
      </c>
      <c r="I72" s="17" t="n">
        <v>14000</v>
      </c>
      <c r="J72" s="18" t="s">
        <v>84</v>
      </c>
      <c r="K72" s="12"/>
    </row>
    <row r="73" customFormat="false" ht="15" hidden="false" customHeight="false" outlineLevel="0" collapsed="false">
      <c r="A73" s="12" t="s">
        <v>341</v>
      </c>
      <c r="B73" s="12" t="s">
        <v>342</v>
      </c>
      <c r="C73" s="10" t="s">
        <v>194</v>
      </c>
      <c r="D73" s="12" t="s">
        <v>45</v>
      </c>
      <c r="E73" s="17" t="n">
        <v>6000</v>
      </c>
      <c r="F73" s="17" t="n">
        <v>4000</v>
      </c>
      <c r="G73" s="17" t="n">
        <v>10000</v>
      </c>
      <c r="H73" s="17" t="n">
        <v>12000</v>
      </c>
      <c r="I73" s="17" t="n">
        <v>14000</v>
      </c>
      <c r="J73" s="18" t="s">
        <v>84</v>
      </c>
      <c r="K73" s="12"/>
    </row>
    <row r="74" customFormat="false" ht="15" hidden="false" customHeight="false" outlineLevel="0" collapsed="false">
      <c r="A74" s="12" t="s">
        <v>341</v>
      </c>
      <c r="B74" s="12" t="s">
        <v>342</v>
      </c>
      <c r="C74" s="10" t="s">
        <v>194</v>
      </c>
      <c r="D74" s="12" t="s">
        <v>46</v>
      </c>
      <c r="E74" s="17" t="n">
        <v>6000</v>
      </c>
      <c r="F74" s="17" t="n">
        <v>4000</v>
      </c>
      <c r="G74" s="17" t="n">
        <v>10000</v>
      </c>
      <c r="H74" s="17" t="n">
        <v>12000</v>
      </c>
      <c r="I74" s="17" t="n">
        <v>14000</v>
      </c>
      <c r="J74" s="18" t="s">
        <v>84</v>
      </c>
      <c r="K74" s="12"/>
    </row>
    <row r="76" customFormat="false" ht="15" hidden="false" customHeight="false" outlineLevel="0" collapsed="false">
      <c r="A76" s="12" t="s">
        <v>343</v>
      </c>
      <c r="B76" s="12" t="s">
        <v>344</v>
      </c>
      <c r="C76" s="10" t="s">
        <v>194</v>
      </c>
      <c r="D76" s="12" t="s">
        <v>22</v>
      </c>
      <c r="E76" s="17" t="n">
        <v>5000</v>
      </c>
      <c r="F76" s="17" t="n">
        <v>2500</v>
      </c>
      <c r="G76" s="17" t="n">
        <v>8000</v>
      </c>
      <c r="H76" s="17" t="n">
        <v>9000</v>
      </c>
      <c r="I76" s="17" t="n">
        <v>10000</v>
      </c>
      <c r="J76" s="18" t="s">
        <v>84</v>
      </c>
      <c r="K76" s="12"/>
    </row>
    <row r="77" customFormat="false" ht="15" hidden="false" customHeight="false" outlineLevel="0" collapsed="false">
      <c r="A77" s="12" t="s">
        <v>343</v>
      </c>
      <c r="B77" s="12" t="s">
        <v>344</v>
      </c>
      <c r="C77" s="10" t="s">
        <v>194</v>
      </c>
      <c r="D77" s="12" t="s">
        <v>45</v>
      </c>
      <c r="E77" s="17" t="n">
        <v>5000</v>
      </c>
      <c r="F77" s="17" t="n">
        <v>2500</v>
      </c>
      <c r="G77" s="17" t="n">
        <v>8000</v>
      </c>
      <c r="H77" s="17" t="n">
        <v>9000</v>
      </c>
      <c r="I77" s="17" t="n">
        <v>10000</v>
      </c>
      <c r="J77" s="18" t="s">
        <v>84</v>
      </c>
      <c r="K77" s="12"/>
    </row>
    <row r="78" customFormat="false" ht="15" hidden="false" customHeight="false" outlineLevel="0" collapsed="false">
      <c r="A78" s="12" t="s">
        <v>343</v>
      </c>
      <c r="B78" s="12" t="s">
        <v>344</v>
      </c>
      <c r="C78" s="10" t="s">
        <v>194</v>
      </c>
      <c r="D78" s="12" t="s">
        <v>46</v>
      </c>
      <c r="E78" s="17" t="n">
        <v>5000</v>
      </c>
      <c r="F78" s="17" t="n">
        <v>2500</v>
      </c>
      <c r="G78" s="17" t="n">
        <v>8000</v>
      </c>
      <c r="H78" s="17" t="n">
        <v>9000</v>
      </c>
      <c r="I78" s="17" t="n">
        <v>10000</v>
      </c>
      <c r="J78" s="18" t="s">
        <v>84</v>
      </c>
      <c r="K78" s="12"/>
    </row>
    <row r="80" customFormat="false" ht="15" hidden="false" customHeight="false" outlineLevel="0" collapsed="false">
      <c r="A80" s="12" t="s">
        <v>345</v>
      </c>
      <c r="B80" s="12" t="s">
        <v>346</v>
      </c>
      <c r="C80" s="10" t="s">
        <v>194</v>
      </c>
      <c r="D80" s="12" t="s">
        <v>22</v>
      </c>
      <c r="E80" s="17" t="n">
        <v>2500</v>
      </c>
      <c r="F80" s="17" t="n">
        <v>3000</v>
      </c>
      <c r="G80" s="17" t="n">
        <v>10000</v>
      </c>
      <c r="H80" s="17" t="n">
        <v>15000</v>
      </c>
      <c r="I80" s="17" t="n">
        <v>20000</v>
      </c>
      <c r="J80" s="18" t="s">
        <v>84</v>
      </c>
      <c r="K80" s="12"/>
    </row>
    <row r="81" customFormat="false" ht="15" hidden="false" customHeight="false" outlineLevel="0" collapsed="false">
      <c r="A81" s="12" t="s">
        <v>345</v>
      </c>
      <c r="B81" s="12" t="s">
        <v>346</v>
      </c>
      <c r="C81" s="10" t="s">
        <v>194</v>
      </c>
      <c r="D81" s="12" t="s">
        <v>45</v>
      </c>
      <c r="E81" s="17" t="n">
        <v>2500</v>
      </c>
      <c r="F81" s="17" t="n">
        <v>3000</v>
      </c>
      <c r="G81" s="17" t="n">
        <v>10000</v>
      </c>
      <c r="H81" s="17" t="n">
        <v>15000</v>
      </c>
      <c r="I81" s="17" t="n">
        <v>20000</v>
      </c>
      <c r="J81" s="18" t="s">
        <v>84</v>
      </c>
      <c r="K81" s="12"/>
    </row>
    <row r="82" customFormat="false" ht="15" hidden="false" customHeight="false" outlineLevel="0" collapsed="false">
      <c r="A82" s="12" t="s">
        <v>345</v>
      </c>
      <c r="B82" s="12" t="s">
        <v>346</v>
      </c>
      <c r="C82" s="10" t="s">
        <v>194</v>
      </c>
      <c r="D82" s="12" t="s">
        <v>46</v>
      </c>
      <c r="E82" s="17" t="n">
        <v>2500</v>
      </c>
      <c r="F82" s="17" t="n">
        <v>3000</v>
      </c>
      <c r="G82" s="17" t="n">
        <v>10000</v>
      </c>
      <c r="H82" s="17" t="n">
        <v>15000</v>
      </c>
      <c r="I82" s="17" t="n">
        <v>20000</v>
      </c>
      <c r="J82" s="18" t="s">
        <v>84</v>
      </c>
      <c r="K82" s="12"/>
    </row>
    <row r="84" customFormat="false" ht="15" hidden="false" customHeight="false" outlineLevel="0" collapsed="false">
      <c r="A84" s="12" t="s">
        <v>347</v>
      </c>
      <c r="B84" s="12" t="s">
        <v>348</v>
      </c>
      <c r="C84" s="10" t="s">
        <v>194</v>
      </c>
      <c r="D84" s="12" t="s">
        <v>22</v>
      </c>
      <c r="E84" s="17" t="n">
        <v>0</v>
      </c>
      <c r="F84" s="17" t="n">
        <v>3500</v>
      </c>
      <c r="G84" s="17" t="n">
        <v>5000</v>
      </c>
      <c r="H84" s="17" t="n">
        <v>5000</v>
      </c>
      <c r="I84" s="17" t="n">
        <v>5000</v>
      </c>
      <c r="J84" s="18" t="s">
        <v>84</v>
      </c>
      <c r="K84" s="12"/>
    </row>
    <row r="85" customFormat="false" ht="15" hidden="false" customHeight="false" outlineLevel="0" collapsed="false">
      <c r="A85" s="12" t="s">
        <v>347</v>
      </c>
      <c r="B85" s="12" t="s">
        <v>348</v>
      </c>
      <c r="C85" s="10" t="s">
        <v>194</v>
      </c>
      <c r="D85" s="12" t="s">
        <v>45</v>
      </c>
      <c r="E85" s="17" t="n">
        <v>0</v>
      </c>
      <c r="F85" s="17" t="n">
        <v>3500</v>
      </c>
      <c r="G85" s="17" t="n">
        <v>5000</v>
      </c>
      <c r="H85" s="17" t="n">
        <v>5000</v>
      </c>
      <c r="I85" s="17" t="n">
        <v>5000</v>
      </c>
      <c r="J85" s="18" t="s">
        <v>84</v>
      </c>
      <c r="K85" s="12"/>
    </row>
    <row r="86" customFormat="false" ht="15" hidden="false" customHeight="false" outlineLevel="0" collapsed="false">
      <c r="A86" s="12" t="s">
        <v>347</v>
      </c>
      <c r="B86" s="12" t="s">
        <v>348</v>
      </c>
      <c r="C86" s="10" t="s">
        <v>194</v>
      </c>
      <c r="D86" s="12" t="s">
        <v>46</v>
      </c>
      <c r="E86" s="17" t="n">
        <v>0</v>
      </c>
      <c r="F86" s="17" t="n">
        <v>3500</v>
      </c>
      <c r="G86" s="17" t="n">
        <v>5000</v>
      </c>
      <c r="H86" s="17" t="n">
        <v>5000</v>
      </c>
      <c r="I86" s="17" t="n">
        <v>5000</v>
      </c>
      <c r="J86" s="18" t="s">
        <v>84</v>
      </c>
      <c r="K86" s="12"/>
    </row>
    <row r="88" customFormat="false" ht="15" hidden="false" customHeight="false" outlineLevel="0" collapsed="false">
      <c r="A88" s="12" t="s">
        <v>349</v>
      </c>
      <c r="B88" s="12" t="s">
        <v>350</v>
      </c>
      <c r="C88" s="10" t="s">
        <v>194</v>
      </c>
      <c r="D88" s="12" t="s">
        <v>22</v>
      </c>
      <c r="E88" s="17" t="n">
        <v>2000</v>
      </c>
      <c r="F88" s="17" t="n">
        <v>4000</v>
      </c>
      <c r="G88" s="17" t="n">
        <v>30000</v>
      </c>
      <c r="H88" s="17" t="n">
        <v>50000</v>
      </c>
      <c r="I88" s="17" t="n">
        <v>70000</v>
      </c>
      <c r="J88" s="18" t="s">
        <v>84</v>
      </c>
      <c r="K88" s="12"/>
    </row>
    <row r="89" customFormat="false" ht="15" hidden="false" customHeight="false" outlineLevel="0" collapsed="false">
      <c r="A89" s="12" t="s">
        <v>349</v>
      </c>
      <c r="B89" s="12" t="s">
        <v>350</v>
      </c>
      <c r="C89" s="10" t="s">
        <v>194</v>
      </c>
      <c r="D89" s="12" t="s">
        <v>45</v>
      </c>
      <c r="E89" s="17" t="n">
        <v>2000</v>
      </c>
      <c r="F89" s="17" t="n">
        <v>4000</v>
      </c>
      <c r="G89" s="17" t="n">
        <v>30000</v>
      </c>
      <c r="H89" s="17" t="n">
        <v>50000</v>
      </c>
      <c r="I89" s="17" t="n">
        <v>70000</v>
      </c>
      <c r="J89" s="18" t="s">
        <v>84</v>
      </c>
      <c r="K89" s="12"/>
    </row>
    <row r="90" customFormat="false" ht="15" hidden="false" customHeight="false" outlineLevel="0" collapsed="false">
      <c r="A90" s="12" t="s">
        <v>349</v>
      </c>
      <c r="B90" s="12" t="s">
        <v>350</v>
      </c>
      <c r="C90" s="10" t="s">
        <v>194</v>
      </c>
      <c r="D90" s="12" t="s">
        <v>46</v>
      </c>
      <c r="E90" s="17" t="n">
        <v>2000</v>
      </c>
      <c r="F90" s="17" t="n">
        <v>4000</v>
      </c>
      <c r="G90" s="17" t="n">
        <v>30000</v>
      </c>
      <c r="H90" s="17" t="n">
        <v>50000</v>
      </c>
      <c r="I90" s="17" t="n">
        <v>70000</v>
      </c>
      <c r="J90" s="18" t="s">
        <v>84</v>
      </c>
      <c r="K90" s="12"/>
    </row>
    <row r="92" customFormat="false" ht="15" hidden="false" customHeight="false" outlineLevel="0" collapsed="false">
      <c r="A92" s="12" t="s">
        <v>351</v>
      </c>
      <c r="B92" s="12" t="s">
        <v>352</v>
      </c>
      <c r="C92" s="10" t="s">
        <v>194</v>
      </c>
      <c r="D92" s="12" t="s">
        <v>22</v>
      </c>
      <c r="E92" s="17" t="n">
        <v>1500</v>
      </c>
      <c r="F92" s="17" t="n">
        <v>4500</v>
      </c>
      <c r="G92" s="17" t="n">
        <v>15000</v>
      </c>
      <c r="H92" s="17" t="n">
        <v>6000</v>
      </c>
      <c r="I92" s="17" t="n">
        <v>5000</v>
      </c>
      <c r="J92" s="18" t="s">
        <v>84</v>
      </c>
      <c r="K92" s="12" t="s">
        <v>353</v>
      </c>
    </row>
    <row r="93" customFormat="false" ht="15" hidden="false" customHeight="false" outlineLevel="0" collapsed="false">
      <c r="A93" s="12" t="s">
        <v>351</v>
      </c>
      <c r="B93" s="12" t="s">
        <v>352</v>
      </c>
      <c r="C93" s="10" t="s">
        <v>194</v>
      </c>
      <c r="D93" s="12" t="s">
        <v>45</v>
      </c>
      <c r="E93" s="17" t="n">
        <v>1500</v>
      </c>
      <c r="F93" s="17" t="n">
        <v>4500</v>
      </c>
      <c r="G93" s="17" t="n">
        <v>15000</v>
      </c>
      <c r="H93" s="17" t="n">
        <v>6000</v>
      </c>
      <c r="I93" s="17" t="n">
        <v>5000</v>
      </c>
      <c r="J93" s="18" t="s">
        <v>84</v>
      </c>
      <c r="K93" s="12" t="s">
        <v>353</v>
      </c>
    </row>
    <row r="94" customFormat="false" ht="15" hidden="false" customHeight="false" outlineLevel="0" collapsed="false">
      <c r="A94" s="12" t="s">
        <v>351</v>
      </c>
      <c r="B94" s="12" t="s">
        <v>352</v>
      </c>
      <c r="C94" s="10" t="s">
        <v>194</v>
      </c>
      <c r="D94" s="12" t="s">
        <v>46</v>
      </c>
      <c r="E94" s="17" t="n">
        <v>1500</v>
      </c>
      <c r="F94" s="17" t="n">
        <v>4500</v>
      </c>
      <c r="G94" s="17" t="n">
        <v>15000</v>
      </c>
      <c r="H94" s="17" t="n">
        <v>6000</v>
      </c>
      <c r="I94" s="17" t="n">
        <v>5000</v>
      </c>
      <c r="J94" s="18" t="s">
        <v>84</v>
      </c>
      <c r="K94" s="12" t="s">
        <v>353</v>
      </c>
    </row>
    <row r="96" customFormat="false" ht="15" hidden="false" customHeight="false" outlineLevel="0" collapsed="false">
      <c r="A96" s="12" t="s">
        <v>354</v>
      </c>
      <c r="B96" s="12" t="s">
        <v>355</v>
      </c>
      <c r="C96" s="10" t="s">
        <v>194</v>
      </c>
      <c r="D96" s="12" t="s">
        <v>22</v>
      </c>
      <c r="E96" s="17" t="n">
        <v>1500</v>
      </c>
      <c r="F96" s="17" t="n">
        <v>3000</v>
      </c>
      <c r="G96" s="17" t="n">
        <v>5000</v>
      </c>
      <c r="H96" s="17" t="n">
        <v>4000</v>
      </c>
      <c r="I96" s="17" t="n">
        <v>5000</v>
      </c>
      <c r="J96" s="18" t="s">
        <v>84</v>
      </c>
      <c r="K96" s="12"/>
    </row>
    <row r="97" customFormat="false" ht="15" hidden="false" customHeight="false" outlineLevel="0" collapsed="false">
      <c r="A97" s="12" t="s">
        <v>354</v>
      </c>
      <c r="B97" s="12" t="s">
        <v>355</v>
      </c>
      <c r="C97" s="10" t="s">
        <v>194</v>
      </c>
      <c r="D97" s="12" t="s">
        <v>45</v>
      </c>
      <c r="E97" s="17" t="n">
        <v>1500</v>
      </c>
      <c r="F97" s="17" t="n">
        <v>3000</v>
      </c>
      <c r="G97" s="17" t="n">
        <v>5000</v>
      </c>
      <c r="H97" s="17" t="n">
        <v>4000</v>
      </c>
      <c r="I97" s="17" t="n">
        <v>5000</v>
      </c>
      <c r="J97" s="18" t="s">
        <v>84</v>
      </c>
      <c r="K97" s="12"/>
    </row>
    <row r="98" customFormat="false" ht="15" hidden="false" customHeight="false" outlineLevel="0" collapsed="false">
      <c r="A98" s="12" t="s">
        <v>354</v>
      </c>
      <c r="B98" s="12" t="s">
        <v>355</v>
      </c>
      <c r="C98" s="10" t="s">
        <v>194</v>
      </c>
      <c r="D98" s="12" t="s">
        <v>46</v>
      </c>
      <c r="E98" s="17" t="n">
        <v>1500</v>
      </c>
      <c r="F98" s="17" t="n">
        <v>3000</v>
      </c>
      <c r="G98" s="17" t="n">
        <v>5000</v>
      </c>
      <c r="H98" s="17" t="n">
        <v>4000</v>
      </c>
      <c r="I98" s="17" t="n">
        <v>5000</v>
      </c>
      <c r="J98" s="18" t="s">
        <v>84</v>
      </c>
      <c r="K98" s="12"/>
    </row>
    <row r="100" customFormat="false" ht="15" hidden="false" customHeight="false" outlineLevel="0" collapsed="false">
      <c r="A100" s="12" t="s">
        <v>356</v>
      </c>
      <c r="B100" s="12" t="s">
        <v>357</v>
      </c>
      <c r="C100" s="10" t="s">
        <v>194</v>
      </c>
      <c r="D100" s="12" t="s">
        <v>22</v>
      </c>
      <c r="E100" s="17" t="n">
        <v>4800</v>
      </c>
      <c r="F100" s="17" t="n">
        <v>4800</v>
      </c>
      <c r="G100" s="17" t="n">
        <v>10000</v>
      </c>
      <c r="H100" s="17" t="n">
        <v>12000</v>
      </c>
      <c r="I100" s="17" t="n">
        <v>15000</v>
      </c>
      <c r="J100" s="18" t="s">
        <v>84</v>
      </c>
      <c r="K100" s="12"/>
    </row>
    <row r="101" customFormat="false" ht="15" hidden="false" customHeight="false" outlineLevel="0" collapsed="false">
      <c r="A101" s="12" t="s">
        <v>356</v>
      </c>
      <c r="B101" s="12" t="s">
        <v>357</v>
      </c>
      <c r="C101" s="10" t="s">
        <v>194</v>
      </c>
      <c r="D101" s="12" t="s">
        <v>45</v>
      </c>
      <c r="E101" s="17" t="n">
        <v>4800</v>
      </c>
      <c r="F101" s="17" t="n">
        <v>4800</v>
      </c>
      <c r="G101" s="17" t="n">
        <v>10000</v>
      </c>
      <c r="H101" s="17" t="n">
        <v>12000</v>
      </c>
      <c r="I101" s="17" t="n">
        <v>15000</v>
      </c>
      <c r="J101" s="18" t="s">
        <v>84</v>
      </c>
      <c r="K101" s="12"/>
    </row>
    <row r="102" customFormat="false" ht="15" hidden="false" customHeight="false" outlineLevel="0" collapsed="false">
      <c r="A102" s="12" t="s">
        <v>356</v>
      </c>
      <c r="B102" s="12" t="s">
        <v>357</v>
      </c>
      <c r="C102" s="10" t="s">
        <v>194</v>
      </c>
      <c r="D102" s="12" t="s">
        <v>46</v>
      </c>
      <c r="E102" s="17" t="n">
        <v>4800</v>
      </c>
      <c r="F102" s="17" t="n">
        <v>4800</v>
      </c>
      <c r="G102" s="17" t="n">
        <v>10000</v>
      </c>
      <c r="H102" s="17" t="n">
        <v>12000</v>
      </c>
      <c r="I102" s="17" t="n">
        <v>15000</v>
      </c>
      <c r="J102" s="18" t="s">
        <v>84</v>
      </c>
      <c r="K102" s="12"/>
    </row>
    <row r="104" customFormat="false" ht="15" hidden="false" customHeight="false" outlineLevel="0" collapsed="false">
      <c r="A104" s="12" t="s">
        <v>358</v>
      </c>
      <c r="B104" s="12" t="s">
        <v>359</v>
      </c>
      <c r="C104" s="10" t="s">
        <v>194</v>
      </c>
      <c r="D104" s="12" t="s">
        <v>22</v>
      </c>
      <c r="E104" s="17" t="n">
        <v>4000</v>
      </c>
      <c r="F104" s="17" t="n">
        <v>5000</v>
      </c>
      <c r="G104" s="17" t="n">
        <v>30000</v>
      </c>
      <c r="H104" s="17" t="n">
        <v>40000</v>
      </c>
      <c r="I104" s="17" t="n">
        <v>50000</v>
      </c>
      <c r="J104" s="18" t="s">
        <v>84</v>
      </c>
      <c r="K104" s="12"/>
    </row>
    <row r="105" customFormat="false" ht="15" hidden="false" customHeight="false" outlineLevel="0" collapsed="false">
      <c r="A105" s="12" t="s">
        <v>358</v>
      </c>
      <c r="B105" s="12" t="s">
        <v>359</v>
      </c>
      <c r="C105" s="10" t="s">
        <v>194</v>
      </c>
      <c r="D105" s="12" t="s">
        <v>45</v>
      </c>
      <c r="E105" s="17" t="n">
        <v>4000</v>
      </c>
      <c r="F105" s="17" t="n">
        <v>5000</v>
      </c>
      <c r="G105" s="17" t="n">
        <v>30000</v>
      </c>
      <c r="H105" s="17" t="n">
        <v>40000</v>
      </c>
      <c r="I105" s="17" t="n">
        <v>50000</v>
      </c>
      <c r="J105" s="18" t="s">
        <v>84</v>
      </c>
      <c r="K105" s="12"/>
    </row>
    <row r="106" customFormat="false" ht="15" hidden="false" customHeight="false" outlineLevel="0" collapsed="false">
      <c r="A106" s="12" t="s">
        <v>358</v>
      </c>
      <c r="B106" s="12" t="s">
        <v>359</v>
      </c>
      <c r="C106" s="10" t="s">
        <v>194</v>
      </c>
      <c r="D106" s="12" t="s">
        <v>46</v>
      </c>
      <c r="E106" s="17" t="n">
        <v>4000</v>
      </c>
      <c r="F106" s="17" t="n">
        <v>5000</v>
      </c>
      <c r="G106" s="17" t="n">
        <v>30000</v>
      </c>
      <c r="H106" s="17" t="n">
        <v>40000</v>
      </c>
      <c r="I106" s="17" t="n">
        <v>50000</v>
      </c>
      <c r="J106" s="18" t="s">
        <v>84</v>
      </c>
      <c r="K106" s="12"/>
    </row>
    <row r="108" customFormat="false" ht="15" hidden="false" customHeight="false" outlineLevel="0" collapsed="false">
      <c r="A108" s="12" t="s">
        <v>360</v>
      </c>
      <c r="B108" s="10" t="s">
        <v>361</v>
      </c>
      <c r="C108" s="10" t="s">
        <v>194</v>
      </c>
      <c r="D108" s="12" t="s">
        <v>22</v>
      </c>
      <c r="E108" s="17" t="n">
        <v>3210</v>
      </c>
      <c r="F108" s="17" t="n">
        <v>3590</v>
      </c>
      <c r="G108" s="17" t="n">
        <v>0</v>
      </c>
      <c r="H108" s="17" t="n">
        <v>0</v>
      </c>
      <c r="I108" s="17" t="n">
        <v>0</v>
      </c>
      <c r="J108" s="18" t="s">
        <v>362</v>
      </c>
      <c r="K108" s="12" t="s">
        <v>363</v>
      </c>
    </row>
    <row r="109" customFormat="false" ht="15" hidden="false" customHeight="false" outlineLevel="0" collapsed="false">
      <c r="A109" s="12" t="s">
        <v>360</v>
      </c>
      <c r="B109" s="10" t="s">
        <v>361</v>
      </c>
      <c r="C109" s="10" t="s">
        <v>194</v>
      </c>
      <c r="D109" s="12" t="s">
        <v>45</v>
      </c>
      <c r="E109" s="17" t="n">
        <v>3210</v>
      </c>
      <c r="F109" s="17" t="n">
        <v>3590</v>
      </c>
      <c r="G109" s="17" t="n">
        <v>0</v>
      </c>
      <c r="H109" s="17" t="n">
        <v>0</v>
      </c>
      <c r="I109" s="17" t="n">
        <v>0</v>
      </c>
      <c r="J109" s="18" t="s">
        <v>362</v>
      </c>
      <c r="K109" s="12" t="s">
        <v>363</v>
      </c>
    </row>
    <row r="110" customFormat="false" ht="15" hidden="false" customHeight="false" outlineLevel="0" collapsed="false">
      <c r="A110" s="12" t="s">
        <v>360</v>
      </c>
      <c r="B110" s="10" t="s">
        <v>361</v>
      </c>
      <c r="C110" s="10" t="s">
        <v>194</v>
      </c>
      <c r="D110" s="12" t="s">
        <v>46</v>
      </c>
      <c r="E110" s="17" t="n">
        <v>3210</v>
      </c>
      <c r="F110" s="17" t="n">
        <v>3590</v>
      </c>
      <c r="G110" s="17" t="n">
        <v>0</v>
      </c>
      <c r="H110" s="17" t="n">
        <v>0</v>
      </c>
      <c r="I110" s="17" t="n">
        <v>0</v>
      </c>
      <c r="J110" s="18" t="s">
        <v>362</v>
      </c>
      <c r="K110" s="12" t="s">
        <v>363</v>
      </c>
    </row>
    <row r="112" customFormat="false" ht="15" hidden="false" customHeight="false" outlineLevel="0" collapsed="false">
      <c r="A112" s="12" t="s">
        <v>364</v>
      </c>
      <c r="B112" s="10" t="s">
        <v>365</v>
      </c>
      <c r="C112" s="10" t="s">
        <v>194</v>
      </c>
      <c r="D112" s="12" t="s">
        <v>22</v>
      </c>
      <c r="E112" s="17" t="n">
        <v>1032.75</v>
      </c>
      <c r="F112" s="17" t="n">
        <v>1626</v>
      </c>
      <c r="G112" s="17" t="n">
        <v>0</v>
      </c>
      <c r="H112" s="17" t="n">
        <v>0</v>
      </c>
      <c r="I112" s="17" t="n">
        <v>0</v>
      </c>
      <c r="J112" s="18" t="s">
        <v>362</v>
      </c>
      <c r="K112" s="12" t="s">
        <v>366</v>
      </c>
    </row>
    <row r="113" customFormat="false" ht="15" hidden="false" customHeight="false" outlineLevel="0" collapsed="false">
      <c r="A113" s="12" t="s">
        <v>364</v>
      </c>
      <c r="B113" s="10" t="s">
        <v>365</v>
      </c>
      <c r="C113" s="10" t="s">
        <v>194</v>
      </c>
      <c r="D113" s="12" t="s">
        <v>45</v>
      </c>
      <c r="E113" s="17" t="n">
        <v>1032.75</v>
      </c>
      <c r="F113" s="17" t="n">
        <v>1626</v>
      </c>
      <c r="G113" s="17" t="n">
        <v>0</v>
      </c>
      <c r="H113" s="17" t="n">
        <v>0</v>
      </c>
      <c r="I113" s="17" t="n">
        <v>0</v>
      </c>
      <c r="J113" s="18" t="s">
        <v>362</v>
      </c>
      <c r="K113" s="12" t="s">
        <v>366</v>
      </c>
    </row>
    <row r="114" customFormat="false" ht="15" hidden="false" customHeight="false" outlineLevel="0" collapsed="false">
      <c r="A114" s="12" t="s">
        <v>364</v>
      </c>
      <c r="B114" s="10" t="s">
        <v>365</v>
      </c>
      <c r="C114" s="10" t="s">
        <v>194</v>
      </c>
      <c r="D114" s="12" t="s">
        <v>46</v>
      </c>
      <c r="E114" s="17" t="n">
        <v>1032.75</v>
      </c>
      <c r="F114" s="17" t="n">
        <v>1626</v>
      </c>
      <c r="G114" s="17" t="n">
        <v>0</v>
      </c>
      <c r="H114" s="17" t="n">
        <v>0</v>
      </c>
      <c r="I114" s="17" t="n">
        <v>0</v>
      </c>
      <c r="J114" s="18" t="s">
        <v>362</v>
      </c>
      <c r="K114" s="12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15"/>
  </cols>
  <sheetData>
    <row r="1" customFormat="false" ht="19.4" hidden="false" customHeight="false" outlineLevel="0" collapsed="false">
      <c r="A1" s="6" t="s">
        <v>367</v>
      </c>
    </row>
    <row r="2" customFormat="false" ht="15" hidden="false" customHeight="false" outlineLevel="0" collapsed="false">
      <c r="A2" s="10" t="s">
        <v>368</v>
      </c>
    </row>
    <row r="3" customFormat="false" ht="15" hidden="false" customHeight="false" outlineLevel="0" collapsed="false">
      <c r="A3" s="9" t="s">
        <v>49</v>
      </c>
      <c r="B3" s="9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369</v>
      </c>
    </row>
    <row r="4" customFormat="false" ht="15" hidden="false" customHeight="false" outlineLevel="0" collapsed="false">
      <c r="A4" s="15" t="s">
        <v>259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12" t="s">
        <v>370</v>
      </c>
      <c r="B5" s="10" t="s">
        <v>39</v>
      </c>
      <c r="C5" s="14" t="n">
        <f aca="false">Inputs_Yearly!$E$32</f>
        <v>0</v>
      </c>
      <c r="D5" s="14" t="n">
        <f aca="false">Inputs_Yearly!$F$32</f>
        <v>3</v>
      </c>
      <c r="E5" s="14" t="n">
        <f aca="false">Inputs_Yearly!$G$32</f>
        <v>20</v>
      </c>
      <c r="F5" s="14" t="n">
        <f aca="false">Inputs_Yearly!$H$32</f>
        <v>35</v>
      </c>
      <c r="G5" s="14" t="n">
        <f aca="false">Inputs_Yearly!$I$32</f>
        <v>40</v>
      </c>
      <c r="H5" s="24" t="n">
        <f aca="false">SUM(C5:G5)</f>
        <v>98</v>
      </c>
    </row>
    <row r="6" customFormat="false" ht="15" hidden="false" customHeight="false" outlineLevel="0" collapsed="false">
      <c r="A6" s="12" t="s">
        <v>371</v>
      </c>
      <c r="B6" s="10" t="s">
        <v>39</v>
      </c>
      <c r="C6" s="14" t="n">
        <f aca="false">Inputs_Yearly!$E$36</f>
        <v>0</v>
      </c>
      <c r="D6" s="14" t="n">
        <f aca="false">Inputs_Yearly!$F$36</f>
        <v>0</v>
      </c>
      <c r="E6" s="14" t="n">
        <f aca="false">Inputs_Yearly!$G$36</f>
        <v>10</v>
      </c>
      <c r="F6" s="14" t="n">
        <f aca="false">Inputs_Yearly!$H$36</f>
        <v>60</v>
      </c>
      <c r="G6" s="14" t="n">
        <f aca="false">Inputs_Yearly!$I$36</f>
        <v>150</v>
      </c>
      <c r="H6" s="24" t="n">
        <f aca="false">SUM(C6:G6)</f>
        <v>220</v>
      </c>
    </row>
    <row r="7" customFormat="false" ht="15" hidden="false" customHeight="false" outlineLevel="0" collapsed="false">
      <c r="A7" s="12" t="s">
        <v>372</v>
      </c>
      <c r="B7" s="10" t="s">
        <v>39</v>
      </c>
      <c r="C7" s="14" t="n">
        <f aca="false">Inputs_Yearly!$E$40</f>
        <v>0</v>
      </c>
      <c r="D7" s="14" t="n">
        <f aca="false">Inputs_Yearly!$F$40</f>
        <v>0</v>
      </c>
      <c r="E7" s="14" t="n">
        <f aca="false">Inputs_Yearly!$G$40</f>
        <v>0</v>
      </c>
      <c r="F7" s="14" t="n">
        <f aca="false">Inputs_Yearly!$H$40</f>
        <v>10</v>
      </c>
      <c r="G7" s="14" t="n">
        <f aca="false">Inputs_Yearly!$I$40</f>
        <v>40</v>
      </c>
      <c r="H7" s="24" t="n">
        <f aca="false">SUM(C7:G7)</f>
        <v>50</v>
      </c>
    </row>
    <row r="8" customFormat="false" ht="15" hidden="false" customHeight="false" outlineLevel="0" collapsed="false">
      <c r="A8" s="12" t="s">
        <v>373</v>
      </c>
      <c r="B8" s="10" t="s">
        <v>39</v>
      </c>
      <c r="C8" s="24" t="n">
        <f aca="false">0</f>
        <v>0</v>
      </c>
      <c r="D8" s="24" t="n">
        <f aca="false">0</f>
        <v>0</v>
      </c>
      <c r="E8" s="14" t="n">
        <f aca="false">Inputs_Yearly!$E$56*Inputs!$D$80*Inputs!$D$81</f>
        <v>0</v>
      </c>
      <c r="F8" s="14" t="n">
        <f aca="false">Inputs_Yearly!$F$56*Inputs!$D$80*Inputs!$D$81</f>
        <v>0</v>
      </c>
      <c r="G8" s="14" t="n">
        <f aca="false">Inputs_Yearly!$G$56*Inputs!$D$80*Inputs!$D$81</f>
        <v>0</v>
      </c>
      <c r="H8" s="24" t="n">
        <f aca="false">SUM(C8:G8)</f>
        <v>0</v>
      </c>
    </row>
    <row r="9" customFormat="false" ht="15" hidden="false" customHeight="false" outlineLevel="0" collapsed="false">
      <c r="A9" s="25" t="s">
        <v>374</v>
      </c>
      <c r="B9" s="10" t="s">
        <v>39</v>
      </c>
      <c r="C9" s="24" t="n">
        <f aca="false">C5+C6+C8+C7</f>
        <v>0</v>
      </c>
      <c r="D9" s="24" t="n">
        <f aca="false">D5+D6+D8+D7</f>
        <v>3</v>
      </c>
      <c r="E9" s="24" t="n">
        <f aca="false">E5+E6+E8+E7</f>
        <v>30</v>
      </c>
      <c r="F9" s="24" t="n">
        <f aca="false">F5+F6+F8+F7</f>
        <v>105</v>
      </c>
      <c r="G9" s="24" t="n">
        <f aca="false">G5+G6+G8+G7</f>
        <v>230</v>
      </c>
      <c r="H9" s="24" t="n">
        <f aca="false">SUM(C9:G9)</f>
        <v>368</v>
      </c>
    </row>
    <row r="10" customFormat="false" ht="15" hidden="false" customHeight="false" outlineLevel="0" collapsed="false">
      <c r="A10" s="12" t="s">
        <v>375</v>
      </c>
      <c r="B10" s="12" t="s">
        <v>33</v>
      </c>
      <c r="C10" s="13" t="n">
        <f aca="false">Inputs_Yearly!$E$44</f>
        <v>1</v>
      </c>
      <c r="D10" s="13" t="n">
        <f aca="false">Inputs_Yearly!$F$44</f>
        <v>1</v>
      </c>
      <c r="E10" s="13" t="n">
        <f aca="false">Inputs_Yearly!$G$44</f>
        <v>0.75</v>
      </c>
      <c r="F10" s="13" t="n">
        <f aca="false">Inputs_Yearly!$H$44</f>
        <v>0.75</v>
      </c>
      <c r="G10" s="13" t="n">
        <f aca="false">Inputs_Yearly!$I$44</f>
        <v>0.75</v>
      </c>
    </row>
    <row r="11" customFormat="false" ht="15" hidden="false" customHeight="false" outlineLevel="0" collapsed="false">
      <c r="A11" s="12" t="s">
        <v>376</v>
      </c>
      <c r="B11" s="10" t="s">
        <v>41</v>
      </c>
      <c r="C11" s="24" t="n">
        <f aca="false">0*Inputs!$D$79</f>
        <v>0</v>
      </c>
      <c r="D11" s="24" t="n">
        <f aca="false">C21*Inputs!$D$79</f>
        <v>0</v>
      </c>
      <c r="E11" s="24" t="n">
        <f aca="false">D21*Inputs!$D$79</f>
        <v>0</v>
      </c>
      <c r="F11" s="24" t="n">
        <f aca="false">E21*Inputs!$D$79</f>
        <v>0.375</v>
      </c>
      <c r="G11" s="24" t="n">
        <f aca="false">F21*Inputs!$D$79</f>
        <v>1.54375</v>
      </c>
      <c r="H11" s="24" t="n">
        <f aca="false">SUM(C11:G11)</f>
        <v>1.91875</v>
      </c>
    </row>
    <row r="12" customFormat="false" ht="15" hidden="false" customHeight="false" outlineLevel="0" collapsed="false">
      <c r="A12" s="12" t="s">
        <v>377</v>
      </c>
      <c r="B12" s="10" t="s">
        <v>41</v>
      </c>
      <c r="C12" s="24" t="n">
        <f aca="false">(C5+C6)*C10</f>
        <v>0</v>
      </c>
      <c r="D12" s="24" t="n">
        <f aca="false">(D5+D6)*D10</f>
        <v>3</v>
      </c>
      <c r="E12" s="24" t="n">
        <f aca="false">(E5+E6)*E10</f>
        <v>22.5</v>
      </c>
      <c r="F12" s="24" t="n">
        <f aca="false">(F5+F6)*F10</f>
        <v>71.25</v>
      </c>
      <c r="G12" s="24" t="n">
        <f aca="false">(G5+G6)*G10</f>
        <v>142.5</v>
      </c>
      <c r="H12" s="24" t="n">
        <f aca="false">SUM(C12:G12)</f>
        <v>239.25</v>
      </c>
    </row>
    <row r="13" customFormat="false" ht="15" hidden="false" customHeight="false" outlineLevel="0" collapsed="false">
      <c r="A13" s="12" t="s">
        <v>378</v>
      </c>
      <c r="B13" s="10" t="s">
        <v>41</v>
      </c>
      <c r="C13" s="24" t="n">
        <f aca="false">C8*Inputs!$D$82</f>
        <v>0</v>
      </c>
      <c r="D13" s="24" t="n">
        <f aca="false">D8*Inputs!$D$82</f>
        <v>0</v>
      </c>
      <c r="E13" s="24" t="n">
        <f aca="false">E8*Inputs!$D$82</f>
        <v>0</v>
      </c>
      <c r="F13" s="24" t="n">
        <f aca="false">F8*Inputs!$D$82</f>
        <v>0</v>
      </c>
      <c r="G13" s="24" t="n">
        <f aca="false">G8*Inputs!$D$82</f>
        <v>0</v>
      </c>
      <c r="H13" s="24" t="n">
        <f aca="false">SUM(C13:G13)</f>
        <v>0</v>
      </c>
    </row>
    <row r="14" customFormat="false" ht="15" hidden="false" customHeight="false" outlineLevel="0" collapsed="false">
      <c r="A14" s="18" t="s">
        <v>379</v>
      </c>
      <c r="B14" s="10" t="s">
        <v>41</v>
      </c>
      <c r="C14" s="24" t="n">
        <f aca="false">C12+C13+C11+C7</f>
        <v>0</v>
      </c>
      <c r="D14" s="24" t="n">
        <f aca="false">D12+D13+D11+D7</f>
        <v>3</v>
      </c>
      <c r="E14" s="24" t="n">
        <f aca="false">E12+E13+E11+E7</f>
        <v>22.5</v>
      </c>
      <c r="F14" s="24" t="n">
        <f aca="false">F12+F13+F11+F7</f>
        <v>81.625</v>
      </c>
      <c r="G14" s="24" t="n">
        <f aca="false">G12+G13+G11+G7</f>
        <v>184.04375</v>
      </c>
      <c r="H14" s="24" t="n">
        <f aca="false">SUM(C14:G14)</f>
        <v>291.16875</v>
      </c>
    </row>
    <row r="15" customFormat="false" ht="15" hidden="false" customHeight="false" outlineLevel="0" collapsed="false">
      <c r="A15" s="12" t="s">
        <v>380</v>
      </c>
      <c r="B15" s="12" t="s">
        <v>33</v>
      </c>
      <c r="C15" s="13" t="n">
        <f aca="false">Inputs_Yearly!$E$48</f>
        <v>0</v>
      </c>
      <c r="D15" s="13" t="n">
        <f aca="false">Inputs_Yearly!$F$48</f>
        <v>0.3</v>
      </c>
      <c r="E15" s="13" t="n">
        <f aca="false">Inputs_Yearly!$G$48</f>
        <v>0.3</v>
      </c>
      <c r="F15" s="13" t="n">
        <f aca="false">Inputs_Yearly!$H$48</f>
        <v>0.35</v>
      </c>
      <c r="G15" s="13" t="n">
        <f aca="false">Inputs_Yearly!$I$48</f>
        <v>0.35</v>
      </c>
    </row>
    <row r="16" customFormat="false" ht="15" hidden="false" customHeight="false" outlineLevel="0" collapsed="false">
      <c r="A16" s="12" t="s">
        <v>381</v>
      </c>
      <c r="B16" s="12" t="s">
        <v>327</v>
      </c>
      <c r="C16" s="14" t="n">
        <f aca="false">Inputs_Yearly!$E$52</f>
        <v>0</v>
      </c>
      <c r="D16" s="14" t="n">
        <f aca="false">Inputs_Yearly!$F$52</f>
        <v>0</v>
      </c>
      <c r="E16" s="14" t="n">
        <f aca="false">Inputs_Yearly!$G$52</f>
        <v>0</v>
      </c>
      <c r="F16" s="14" t="n">
        <f aca="false">Inputs_Yearly!$H$52</f>
        <v>1</v>
      </c>
      <c r="G16" s="14" t="n">
        <f aca="false">Inputs_Yearly!$I$52</f>
        <v>1</v>
      </c>
    </row>
    <row r="17" customFormat="false" ht="15" hidden="false" customHeight="false" outlineLevel="0" collapsed="false">
      <c r="A17" s="12" t="s">
        <v>382</v>
      </c>
      <c r="B17" s="10" t="s">
        <v>41</v>
      </c>
      <c r="C17" s="24" t="n">
        <f aca="false">C14*C15</f>
        <v>0</v>
      </c>
      <c r="D17" s="24" t="n">
        <f aca="false">D14*D15</f>
        <v>0.9</v>
      </c>
      <c r="E17" s="24" t="n">
        <f aca="false">E14*E15</f>
        <v>6.75</v>
      </c>
      <c r="F17" s="24" t="n">
        <f aca="false">F14*F15</f>
        <v>28.56875</v>
      </c>
      <c r="G17" s="24" t="n">
        <f aca="false">G14*G15</f>
        <v>64.4153125</v>
      </c>
      <c r="H17" s="24" t="n">
        <f aca="false">SUM(C17:G17)</f>
        <v>100.6340625</v>
      </c>
    </row>
    <row r="18" customFormat="false" ht="15" hidden="false" customHeight="false" outlineLevel="0" collapsed="false">
      <c r="A18" s="10" t="s">
        <v>383</v>
      </c>
      <c r="B18" s="10" t="s">
        <v>41</v>
      </c>
      <c r="C18" s="24" t="n">
        <f aca="false">C14-C17</f>
        <v>0</v>
      </c>
      <c r="D18" s="24" t="n">
        <f aca="false">D14-D17</f>
        <v>2.1</v>
      </c>
      <c r="E18" s="24" t="n">
        <f aca="false">E14-E17</f>
        <v>15.75</v>
      </c>
      <c r="F18" s="24" t="n">
        <f aca="false">F14-F17</f>
        <v>53.05625</v>
      </c>
      <c r="G18" s="24" t="n">
        <f aca="false">G14-G17</f>
        <v>119.6284375</v>
      </c>
      <c r="H18" s="24" t="n">
        <f aca="false">SUM(C18:G18)</f>
        <v>190.5346875</v>
      </c>
    </row>
    <row r="19" customFormat="false" ht="15" hidden="false" customHeight="false" outlineLevel="0" collapsed="false">
      <c r="A19" s="12" t="s">
        <v>384</v>
      </c>
      <c r="B19" s="10" t="s">
        <v>41</v>
      </c>
      <c r="C19" s="24" t="n">
        <f aca="false">C17*(1-C16)</f>
        <v>0</v>
      </c>
      <c r="D19" s="24" t="n">
        <f aca="false">D17*(1-D16)</f>
        <v>0.9</v>
      </c>
      <c r="E19" s="24" t="n">
        <f aca="false">E17*(1-E16)</f>
        <v>6.75</v>
      </c>
      <c r="F19" s="24" t="n">
        <f aca="false">F17*(1-F16)</f>
        <v>0</v>
      </c>
      <c r="G19" s="24" t="n">
        <f aca="false">G17*(1-G16)</f>
        <v>0</v>
      </c>
      <c r="H19" s="24" t="n">
        <f aca="false">SUM(C19:G19)</f>
        <v>7.65</v>
      </c>
    </row>
    <row r="20" customFormat="false" ht="15" hidden="false" customHeight="false" outlineLevel="0" collapsed="false">
      <c r="A20" s="12" t="s">
        <v>385</v>
      </c>
      <c r="B20" s="10" t="s">
        <v>41</v>
      </c>
      <c r="C20" s="24" t="n">
        <f aca="false">C17*C16</f>
        <v>0</v>
      </c>
      <c r="D20" s="24" t="n">
        <f aca="false">D17*D16</f>
        <v>0</v>
      </c>
      <c r="E20" s="24" t="n">
        <f aca="false">E17*E16</f>
        <v>0</v>
      </c>
      <c r="F20" s="24" t="n">
        <f aca="false">F17*F16</f>
        <v>28.56875</v>
      </c>
      <c r="G20" s="24" t="n">
        <f aca="false">G17*G16</f>
        <v>64.4153125</v>
      </c>
      <c r="H20" s="24" t="n">
        <f aca="false">SUM(C20:G20)</f>
        <v>92.9840625</v>
      </c>
    </row>
    <row r="21" customFormat="false" ht="15" hidden="false" customHeight="false" outlineLevel="0" collapsed="false">
      <c r="A21" s="12" t="s">
        <v>386</v>
      </c>
      <c r="B21" s="10" t="s">
        <v>39</v>
      </c>
      <c r="C21" s="24" t="n">
        <f aca="false">0+(C5+C6)*(1-C10)+C8*(1-Inputs!$D$82)-C11</f>
        <v>0</v>
      </c>
      <c r="D21" s="24" t="n">
        <f aca="false">C21+(D5+D6)*(1-D10)+D8*(1-Inputs!$D$82)-D11</f>
        <v>0</v>
      </c>
      <c r="E21" s="24" t="n">
        <f aca="false">D21+(E5+E6)*(1-E10)+E8*(1-Inputs!$D$82)-E11</f>
        <v>7.5</v>
      </c>
      <c r="F21" s="24" t="n">
        <f aca="false">E21+(F5+F6)*(1-F10)+F8*(1-Inputs!$D$82)-F11</f>
        <v>30.875</v>
      </c>
      <c r="G21" s="24" t="n">
        <f aca="false">F21+(G5+G6)*(1-G10)+G8*(1-Inputs!$D$82)-G11</f>
        <v>76.83125</v>
      </c>
    </row>
    <row r="22" customFormat="false" ht="15" hidden="false" customHeight="false" outlineLevel="0" collapsed="false">
      <c r="A22" s="10" t="s">
        <v>387</v>
      </c>
      <c r="B22" s="10" t="s">
        <v>41</v>
      </c>
      <c r="C22" s="24" t="n">
        <f aca="false">0+C18</f>
        <v>0</v>
      </c>
      <c r="D22" s="24" t="n">
        <f aca="false">C22+D18</f>
        <v>2.1</v>
      </c>
      <c r="E22" s="24" t="n">
        <f aca="false">D22+E18</f>
        <v>17.85</v>
      </c>
      <c r="F22" s="24" t="n">
        <f aca="false">E22+F18</f>
        <v>70.90625</v>
      </c>
      <c r="G22" s="24" t="n">
        <f aca="false">F22+G18</f>
        <v>190.5346875</v>
      </c>
    </row>
    <row r="23" customFormat="false" ht="15" hidden="false" customHeight="false" outlineLevel="0" collapsed="false">
      <c r="A23" s="10" t="s">
        <v>388</v>
      </c>
      <c r="B23" s="10" t="s">
        <v>41</v>
      </c>
      <c r="C23" s="24" t="n">
        <f aca="false">0+C18/2</f>
        <v>0</v>
      </c>
      <c r="D23" s="24" t="n">
        <f aca="false">C22+D18/2</f>
        <v>1.05</v>
      </c>
      <c r="E23" s="24" t="n">
        <f aca="false">D22+E18/2</f>
        <v>9.975</v>
      </c>
      <c r="F23" s="24" t="n">
        <f aca="false">E22+F18/2</f>
        <v>44.378125</v>
      </c>
      <c r="G23" s="24" t="n">
        <f aca="false">F22+G18/2</f>
        <v>130.72046875</v>
      </c>
    </row>
    <row r="24" customFormat="false" ht="15" hidden="false" customHeight="false" outlineLevel="0" collapsed="false">
      <c r="A24" s="12" t="s">
        <v>389</v>
      </c>
      <c r="B24" s="10" t="s">
        <v>41</v>
      </c>
      <c r="C24" s="24" t="n">
        <f aca="false">0+C19</f>
        <v>0</v>
      </c>
      <c r="D24" s="24" t="n">
        <f aca="false">C24+D19</f>
        <v>0.9</v>
      </c>
      <c r="E24" s="24" t="n">
        <f aca="false">D24+E19</f>
        <v>7.65</v>
      </c>
      <c r="F24" s="24" t="n">
        <f aca="false">E24+F19</f>
        <v>7.65</v>
      </c>
      <c r="G24" s="24" t="n">
        <f aca="false">F24+G19</f>
        <v>7.65</v>
      </c>
    </row>
    <row r="25" customFormat="false" ht="15" hidden="false" customHeight="false" outlineLevel="0" collapsed="false">
      <c r="A25" s="12" t="s">
        <v>390</v>
      </c>
      <c r="B25" s="10" t="s">
        <v>41</v>
      </c>
      <c r="C25" s="24" t="n">
        <f aca="false">0+C19/2</f>
        <v>0</v>
      </c>
      <c r="D25" s="24" t="n">
        <f aca="false">C24+D19/2</f>
        <v>0.45</v>
      </c>
      <c r="E25" s="24" t="n">
        <f aca="false">D24+E19/2</f>
        <v>4.275</v>
      </c>
      <c r="F25" s="24" t="n">
        <f aca="false">E24+F19/2</f>
        <v>7.65</v>
      </c>
      <c r="G25" s="24" t="n">
        <f aca="false">F24+G19/2</f>
        <v>7.65</v>
      </c>
    </row>
    <row r="26" customFormat="false" ht="15" hidden="false" customHeight="false" outlineLevel="0" collapsed="false">
      <c r="A26" s="12" t="s">
        <v>391</v>
      </c>
      <c r="B26" s="10" t="s">
        <v>41</v>
      </c>
      <c r="C26" s="24" t="n">
        <f aca="false">0+C20</f>
        <v>0</v>
      </c>
      <c r="D26" s="24" t="n">
        <f aca="false">C26+D20</f>
        <v>0</v>
      </c>
      <c r="E26" s="24" t="n">
        <f aca="false">D26+E20</f>
        <v>0</v>
      </c>
      <c r="F26" s="24" t="n">
        <f aca="false">E26+F20</f>
        <v>28.56875</v>
      </c>
      <c r="G26" s="24" t="n">
        <f aca="false">F26+G20</f>
        <v>92.9840625</v>
      </c>
    </row>
    <row r="27" customFormat="false" ht="15" hidden="false" customHeight="false" outlineLevel="0" collapsed="false">
      <c r="A27" s="12" t="s">
        <v>392</v>
      </c>
      <c r="B27" s="10" t="s">
        <v>41</v>
      </c>
      <c r="C27" s="24" t="n">
        <f aca="false">0+C20/2</f>
        <v>0</v>
      </c>
      <c r="D27" s="24" t="n">
        <f aca="false">C26+D20/2</f>
        <v>0</v>
      </c>
      <c r="E27" s="24" t="n">
        <f aca="false">D26+E20/2</f>
        <v>0</v>
      </c>
      <c r="F27" s="24" t="n">
        <f aca="false">E26+F20/2</f>
        <v>14.284375</v>
      </c>
      <c r="G27" s="24" t="n">
        <f aca="false">F26+G20/2</f>
        <v>60.77640625</v>
      </c>
    </row>
    <row r="28" customFormat="false" ht="15" hidden="false" customHeight="false" outlineLevel="0" collapsed="false">
      <c r="A28" s="12" t="s">
        <v>42</v>
      </c>
      <c r="B28" s="10" t="s">
        <v>41</v>
      </c>
      <c r="C28" s="24" t="n">
        <f aca="false">C22+C24+C26</f>
        <v>0</v>
      </c>
      <c r="D28" s="24" t="n">
        <f aca="false">D22+D24+D26</f>
        <v>3</v>
      </c>
      <c r="E28" s="24" t="n">
        <f aca="false">E22+E24+E26</f>
        <v>25.5</v>
      </c>
      <c r="F28" s="24" t="n">
        <f aca="false">F22+F24+F26</f>
        <v>107.125</v>
      </c>
      <c r="G28" s="24" t="n">
        <f aca="false">G22+G24+G26</f>
        <v>291.16875</v>
      </c>
    </row>
    <row r="29" customFormat="false" ht="15" hidden="false" customHeight="false" outlineLevel="0" collapsed="false">
      <c r="A29" s="10" t="s">
        <v>393</v>
      </c>
      <c r="B29" s="10" t="s">
        <v>39</v>
      </c>
      <c r="C29" s="14" t="n">
        <f aca="false">Inputs_Yearly!$E$56*Inputs!$D$80*Inputs!$D$81</f>
        <v>0</v>
      </c>
      <c r="D29" s="24" t="n">
        <f aca="false">(Inputs_Yearly!$F$56+Inputs_Yearly!$E$56)*Inputs!$D$80*Inputs!$D$81</f>
        <v>0</v>
      </c>
      <c r="E29" s="24" t="n">
        <f aca="false">(Inputs_Yearly!$G$56+Inputs_Yearly!$F$56)*Inputs!$D$80*Inputs!$D$81</f>
        <v>0</v>
      </c>
      <c r="F29" s="24" t="n">
        <f aca="false">(Inputs_Yearly!$H$56+Inputs_Yearly!$G$56)*Inputs!$D$80*Inputs!$D$81</f>
        <v>48</v>
      </c>
      <c r="G29" s="24" t="n">
        <f aca="false">(Inputs_Yearly!$I$56+Inputs_Yearly!$H$56)*Inputs!$D$80*Inputs!$D$81</f>
        <v>144</v>
      </c>
    </row>
    <row r="30" customFormat="false" ht="15" hidden="false" customHeight="false" outlineLevel="0" collapsed="false">
      <c r="A30" s="15" t="s">
        <v>394</v>
      </c>
      <c r="B30" s="16"/>
      <c r="C30" s="16"/>
      <c r="D30" s="16"/>
      <c r="E30" s="16"/>
      <c r="F30" s="16"/>
      <c r="G30" s="16"/>
      <c r="H30" s="16"/>
    </row>
    <row r="31" customFormat="false" ht="15" hidden="false" customHeight="false" outlineLevel="0" collapsed="false">
      <c r="A31" s="10" t="s">
        <v>395</v>
      </c>
      <c r="B31" s="12" t="s">
        <v>33</v>
      </c>
      <c r="C31" s="13" t="n">
        <f aca="false">Inputs_Yearly!$E$4</f>
        <v>1</v>
      </c>
      <c r="D31" s="13" t="n">
        <f aca="false">Inputs_Yearly!$F$4</f>
        <v>0.3</v>
      </c>
      <c r="E31" s="13" t="n">
        <f aca="false">Inputs_Yearly!$G$4</f>
        <v>1</v>
      </c>
      <c r="F31" s="13" t="n">
        <f aca="false">Inputs_Yearly!$H$4</f>
        <v>1</v>
      </c>
      <c r="G31" s="13" t="n">
        <f aca="false">Inputs_Yearly!$I$4</f>
        <v>1</v>
      </c>
    </row>
    <row r="32" customFormat="false" ht="15" hidden="false" customHeight="false" outlineLevel="0" collapsed="false">
      <c r="A32" s="12" t="s">
        <v>396</v>
      </c>
      <c r="B32" s="10" t="s">
        <v>152</v>
      </c>
      <c r="C32" s="14" t="n">
        <f aca="false">Inputs!$D$44*Inputs!$D$45+Inputs!$D$46*Inputs!$D$47+Inputs!$D$48*Inputs!$D$49</f>
        <v>36</v>
      </c>
      <c r="D32" s="14" t="n">
        <f aca="false">Inputs!$D$44*Inputs!$D$45+Inputs!$D$46*Inputs!$D$47+Inputs!$D$48*Inputs!$D$49</f>
        <v>36</v>
      </c>
      <c r="E32" s="14" t="n">
        <f aca="false">Inputs!$D$44*Inputs!$D$45+Inputs!$D$46*Inputs!$D$47+Inputs!$D$48*Inputs!$D$49</f>
        <v>36</v>
      </c>
      <c r="F32" s="14" t="n">
        <f aca="false">Inputs!$D$44*Inputs!$D$45+Inputs!$D$46*Inputs!$D$47+Inputs!$D$48*Inputs!$D$49</f>
        <v>36</v>
      </c>
      <c r="G32" s="14" t="n">
        <f aca="false">Inputs!$D$44*Inputs!$D$45+Inputs!$D$46*Inputs!$D$47+Inputs!$D$48*Inputs!$D$49</f>
        <v>36</v>
      </c>
    </row>
    <row r="33" customFormat="false" ht="15" hidden="false" customHeight="false" outlineLevel="0" collapsed="false">
      <c r="A33" s="12" t="s">
        <v>397</v>
      </c>
      <c r="B33" s="10" t="s">
        <v>152</v>
      </c>
      <c r="C33" s="14" t="n">
        <f aca="false">Inputs!$D$46*Inputs!$D$47+Inputs!$D$48*Inputs!$D$49</f>
        <v>18</v>
      </c>
      <c r="D33" s="14" t="n">
        <f aca="false">Inputs!$D$46*Inputs!$D$47+Inputs!$D$48*Inputs!$D$49</f>
        <v>18</v>
      </c>
      <c r="E33" s="14" t="n">
        <f aca="false">Inputs!$D$46*Inputs!$D$47+Inputs!$D$48*Inputs!$D$49</f>
        <v>18</v>
      </c>
      <c r="F33" s="14" t="n">
        <f aca="false">Inputs!$D$46*Inputs!$D$47+Inputs!$D$48*Inputs!$D$49</f>
        <v>18</v>
      </c>
      <c r="G33" s="14" t="n">
        <f aca="false">Inputs!$D$46*Inputs!$D$47+Inputs!$D$48*Inputs!$D$49</f>
        <v>18</v>
      </c>
    </row>
    <row r="34" customFormat="false" ht="15" hidden="false" customHeight="false" outlineLevel="0" collapsed="false">
      <c r="A34" s="12" t="s">
        <v>398</v>
      </c>
      <c r="B34" s="10" t="s">
        <v>152</v>
      </c>
      <c r="C34" s="14" t="n">
        <f aca="false">Inputs!$D$44*Inputs!$D$45</f>
        <v>18</v>
      </c>
      <c r="D34" s="14" t="n">
        <f aca="false">Inputs!$D$44*Inputs!$D$45</f>
        <v>18</v>
      </c>
      <c r="E34" s="14" t="n">
        <f aca="false">Inputs!$D$44*Inputs!$D$45</f>
        <v>18</v>
      </c>
      <c r="F34" s="14" t="n">
        <f aca="false">Inputs!$D$44*Inputs!$D$45</f>
        <v>18</v>
      </c>
      <c r="G34" s="14" t="n">
        <f aca="false">Inputs!$D$44*Inputs!$D$45</f>
        <v>18</v>
      </c>
    </row>
    <row r="35" customFormat="false" ht="15" hidden="false" customHeight="false" outlineLevel="0" collapsed="false">
      <c r="A35" s="12" t="s">
        <v>399</v>
      </c>
      <c r="B35" s="10" t="s">
        <v>194</v>
      </c>
      <c r="C35" s="24" t="n">
        <f aca="false">(C5+C6)*Inputs!$D$34*C31+C8*Inputs!$D$35+C7*Inputs!$D$36*C31</f>
        <v>0</v>
      </c>
      <c r="D35" s="24" t="n">
        <f aca="false">(D5+D6)*Inputs!$D$34*D31+D8*Inputs!$D$35+D7*Inputs!$D$36*D31</f>
        <v>360</v>
      </c>
      <c r="E35" s="24" t="n">
        <f aca="false">(E5+E6)*Inputs!$D$34*E31+E8*Inputs!$D$35+E7*Inputs!$D$36*E31</f>
        <v>12000</v>
      </c>
      <c r="F35" s="24" t="n">
        <f aca="false">(F5+F6)*Inputs!$D$34*F31+F8*Inputs!$D$35+F7*Inputs!$D$36*F31</f>
        <v>39500</v>
      </c>
      <c r="G35" s="24" t="n">
        <f aca="false">(G5+G6)*Inputs!$D$34*G31+G8*Inputs!$D$35+G7*Inputs!$D$36*G31</f>
        <v>82000</v>
      </c>
      <c r="H35" s="24" t="n">
        <f aca="false">SUM(C35:G35)</f>
        <v>133860</v>
      </c>
    </row>
    <row r="36" customFormat="false" ht="15" hidden="false" customHeight="false" outlineLevel="0" collapsed="false">
      <c r="A36" s="12" t="s">
        <v>400</v>
      </c>
      <c r="B36" s="10" t="s">
        <v>194</v>
      </c>
      <c r="C36" s="24" t="n">
        <f aca="false">(C14-C7)*Inputs!$D$38*C31+C7*Inputs!$D$39*C31</f>
        <v>0</v>
      </c>
      <c r="D36" s="24" t="n">
        <f aca="false">(D14-D7)*Inputs!$D$38*D31+D7*Inputs!$D$39*D31</f>
        <v>72</v>
      </c>
      <c r="E36" s="24" t="n">
        <f aca="false">(E14-E7)*Inputs!$D$38*E31+E7*Inputs!$D$39*E31</f>
        <v>1800</v>
      </c>
      <c r="F36" s="24" t="n">
        <f aca="false">(F14-F7)*Inputs!$D$38*F31+F7*Inputs!$D$39*F31</f>
        <v>6930</v>
      </c>
      <c r="G36" s="24" t="n">
        <f aca="false">(G14-G7)*Inputs!$D$38*G31+G7*Inputs!$D$39*G31</f>
        <v>16323.5</v>
      </c>
      <c r="H36" s="24" t="n">
        <f aca="false">SUM(C36:G36)</f>
        <v>25125.5</v>
      </c>
    </row>
    <row r="37" customFormat="false" ht="15" hidden="false" customHeight="false" outlineLevel="0" collapsed="false">
      <c r="A37" s="12" t="s">
        <v>401</v>
      </c>
      <c r="B37" s="10" t="s">
        <v>194</v>
      </c>
      <c r="C37" s="24" t="n">
        <f aca="false">C18*Inputs!$D$37*C31+C20*Inputs!$D$37*Inputs!$D$56</f>
        <v>0</v>
      </c>
      <c r="D37" s="24" t="n">
        <f aca="false">D18*Inputs!$D$37*D31+D20*Inputs!$D$37*Inputs!$D$56</f>
        <v>812.7</v>
      </c>
      <c r="E37" s="24" t="n">
        <f aca="false">E18*Inputs!$D$37*E31+E20*Inputs!$D$37*Inputs!$D$56</f>
        <v>20317.5</v>
      </c>
      <c r="F37" s="24" t="n">
        <f aca="false">F18*Inputs!$D$37*F31+F20*Inputs!$D$37*Inputs!$D$56</f>
        <v>100873.8075</v>
      </c>
      <c r="G37" s="24" t="n">
        <f aca="false">G18*Inputs!$D$37*G31+G20*Inputs!$D$37*Inputs!$D$56</f>
        <v>227444.947125</v>
      </c>
      <c r="H37" s="24" t="n">
        <f aca="false">SUM(C37:G37)</f>
        <v>349448.954625</v>
      </c>
    </row>
    <row r="38" customFormat="false" ht="15" hidden="false" customHeight="false" outlineLevel="0" collapsed="false">
      <c r="A38" s="12" t="s">
        <v>402</v>
      </c>
      <c r="B38" s="10" t="s">
        <v>194</v>
      </c>
      <c r="C38" s="24" t="n">
        <f aca="false">C25*Inputs!$D$40*12</f>
        <v>0</v>
      </c>
      <c r="D38" s="24" t="n">
        <f aca="false">D25*Inputs!$D$40*12</f>
        <v>156.6</v>
      </c>
      <c r="E38" s="24" t="n">
        <f aca="false">E25*Inputs!$D$40*12</f>
        <v>1487.7</v>
      </c>
      <c r="F38" s="24" t="n">
        <f aca="false">F25*Inputs!$D$40*12</f>
        <v>2662.2</v>
      </c>
      <c r="G38" s="24" t="n">
        <f aca="false">G25*Inputs!$D$40*12</f>
        <v>2662.2</v>
      </c>
      <c r="H38" s="24" t="n">
        <f aca="false">SUM(C38:G38)</f>
        <v>6968.7</v>
      </c>
    </row>
    <row r="39" customFormat="false" ht="15" hidden="false" customHeight="false" outlineLevel="0" collapsed="false">
      <c r="A39" s="12" t="s">
        <v>403</v>
      </c>
      <c r="B39" s="10" t="s">
        <v>194</v>
      </c>
      <c r="C39" s="24" t="n">
        <f aca="false">C23*Inputs!$D$51*Inputs!$D$42+C27*Inputs!$D$57*12</f>
        <v>0</v>
      </c>
      <c r="D39" s="24" t="n">
        <f aca="false">D23*Inputs!$D$51*Inputs!$D$42+D27*Inputs!$D$57*12</f>
        <v>24.255</v>
      </c>
      <c r="E39" s="24" t="n">
        <f aca="false">E23*Inputs!$D$51*Inputs!$D$42+E27*Inputs!$D$57*12</f>
        <v>230.4225</v>
      </c>
      <c r="F39" s="24" t="n">
        <f aca="false">F23*Inputs!$D$51*Inputs!$D$42+F27*Inputs!$D$57*12</f>
        <v>2053.6096875</v>
      </c>
      <c r="G39" s="24" t="n">
        <f aca="false">G23*Inputs!$D$51*Inputs!$D$42+G27*Inputs!$D$57*12</f>
        <v>7395.544078125</v>
      </c>
      <c r="H39" s="24" t="n">
        <f aca="false">SUM(C39:G39)</f>
        <v>9703.831265625</v>
      </c>
    </row>
    <row r="40" customFormat="false" ht="15" hidden="false" customHeight="false" outlineLevel="0" collapsed="false">
      <c r="A40" s="12" t="s">
        <v>404</v>
      </c>
      <c r="B40" s="10" t="s">
        <v>194</v>
      </c>
      <c r="C40" s="24" t="n">
        <f aca="false">C23*Inputs!$D$50*C32+(C25+C27)*Inputs!$D$50*C33</f>
        <v>0</v>
      </c>
      <c r="D40" s="24" t="n">
        <f aca="false">D23*Inputs!$D$50*D32+(D25+D27)*Inputs!$D$50*D33</f>
        <v>25.245</v>
      </c>
      <c r="E40" s="24" t="n">
        <f aca="false">E23*Inputs!$D$50*E32+(E25+E27)*Inputs!$D$50*E33</f>
        <v>239.8275</v>
      </c>
      <c r="F40" s="24" t="n">
        <f aca="false">F23*Inputs!$D$50*F32+(F25+F27)*Inputs!$D$50*F33</f>
        <v>1095.8371875</v>
      </c>
      <c r="G40" s="24" t="n">
        <f aca="false">G23*Inputs!$D$50*G32+(G25+G27)*Inputs!$D$50*G33</f>
        <v>3265.686703125</v>
      </c>
      <c r="H40" s="24" t="n">
        <f aca="false">SUM(C40:G40)</f>
        <v>4626.596390625</v>
      </c>
    </row>
    <row r="41" customFormat="false" ht="15" hidden="false" customHeight="false" outlineLevel="0" collapsed="false">
      <c r="A41" s="12" t="s">
        <v>405</v>
      </c>
      <c r="B41" s="10" t="s">
        <v>194</v>
      </c>
      <c r="C41" s="24" t="n">
        <f aca="false">0*Inputs!$D$53*Inputs!$D$52+0*Inputs!$D$55*Inputs!$D$54</f>
        <v>0</v>
      </c>
      <c r="D41" s="24" t="n">
        <f aca="false">C14*Inputs!$D$53*Inputs!$D$52+0*Inputs!$D$55*Inputs!$D$54</f>
        <v>0</v>
      </c>
      <c r="E41" s="24" t="n">
        <f aca="false">D14*Inputs!$D$53*Inputs!$D$52+C14*Inputs!$D$55*Inputs!$D$54</f>
        <v>18</v>
      </c>
      <c r="F41" s="24" t="n">
        <f aca="false">E14*Inputs!$D$53*Inputs!$D$52+D14*Inputs!$D$55*Inputs!$D$54</f>
        <v>171</v>
      </c>
      <c r="G41" s="24" t="n">
        <f aca="false">F14*Inputs!$D$53*Inputs!$D$52+E14*Inputs!$D$55*Inputs!$D$54</f>
        <v>759.75</v>
      </c>
      <c r="H41" s="24" t="n">
        <f aca="false">SUM(C41:G41)</f>
        <v>948.75</v>
      </c>
    </row>
    <row r="42" customFormat="false" ht="15" hidden="false" customHeight="false" outlineLevel="0" collapsed="false">
      <c r="A42" s="25" t="s">
        <v>406</v>
      </c>
      <c r="B42" s="10" t="s">
        <v>194</v>
      </c>
      <c r="C42" s="24" t="n">
        <f aca="false">SUM(C35:C41)</f>
        <v>0</v>
      </c>
      <c r="D42" s="24" t="n">
        <f aca="false">SUM(D35:D41)</f>
        <v>1450.8</v>
      </c>
      <c r="E42" s="24" t="n">
        <f aca="false">SUM(E35:E41)</f>
        <v>36093.45</v>
      </c>
      <c r="F42" s="24" t="n">
        <f aca="false">SUM(F35:F41)</f>
        <v>153286.454375</v>
      </c>
      <c r="G42" s="24" t="n">
        <f aca="false">SUM(G35:G41)</f>
        <v>339851.62790625</v>
      </c>
      <c r="H42" s="24" t="n">
        <f aca="false">SUM(C42:G42)</f>
        <v>530682.33228125</v>
      </c>
    </row>
    <row r="43" customFormat="false" ht="15" hidden="false" customHeight="false" outlineLevel="0" collapsed="false">
      <c r="A43" s="15" t="s">
        <v>407</v>
      </c>
      <c r="B43" s="16"/>
      <c r="C43" s="16"/>
      <c r="D43" s="16"/>
      <c r="E43" s="16"/>
      <c r="F43" s="16"/>
      <c r="G43" s="16"/>
      <c r="H43" s="16"/>
    </row>
    <row r="44" customFormat="false" ht="15" hidden="false" customHeight="false" outlineLevel="0" collapsed="false">
      <c r="A44" s="12" t="s">
        <v>293</v>
      </c>
      <c r="B44" s="12" t="s">
        <v>33</v>
      </c>
      <c r="C44" s="13" t="n">
        <f aca="false">Inputs_Yearly!$E$8</f>
        <v>0.4</v>
      </c>
      <c r="D44" s="13" t="n">
        <f aca="false">Inputs_Yearly!$F$8</f>
        <v>0.45</v>
      </c>
      <c r="E44" s="13" t="n">
        <f aca="false">Inputs_Yearly!$G$8</f>
        <v>0.55</v>
      </c>
      <c r="F44" s="13" t="n">
        <f aca="false">Inputs_Yearly!$H$8</f>
        <v>0.62</v>
      </c>
      <c r="G44" s="13" t="n">
        <f aca="false">Inputs_Yearly!$I$8</f>
        <v>0.65</v>
      </c>
    </row>
    <row r="45" customFormat="false" ht="15" hidden="false" customHeight="false" outlineLevel="0" collapsed="false">
      <c r="A45" s="12" t="s">
        <v>408</v>
      </c>
      <c r="B45" s="10" t="s">
        <v>194</v>
      </c>
      <c r="C45" s="14" t="n">
        <f aca="false">Inputs!$D$59*(C44+Inputs!$D$60*(1-C44))+Inputs!$D$61*(1-C44)</f>
        <v>332</v>
      </c>
      <c r="D45" s="14" t="n">
        <f aca="false">Inputs!$D$59*(D44+Inputs!$D$60*(1-D44))+Inputs!$D$61*(1-D44)</f>
        <v>321</v>
      </c>
      <c r="E45" s="14" t="n">
        <f aca="false">Inputs!$D$59*(E44+Inputs!$D$60*(1-E44))+Inputs!$D$61*(1-E44)</f>
        <v>299</v>
      </c>
      <c r="F45" s="14" t="n">
        <f aca="false">Inputs!$D$59*(F44+Inputs!$D$60*(1-F44))+Inputs!$D$61*(1-F44)</f>
        <v>283.6</v>
      </c>
      <c r="G45" s="14" t="n">
        <f aca="false">Inputs!$D$59*(G44+Inputs!$D$60*(1-G44))+Inputs!$D$61*(1-G44)</f>
        <v>277</v>
      </c>
    </row>
    <row r="46" customFormat="false" ht="15" hidden="false" customHeight="false" outlineLevel="0" collapsed="false">
      <c r="A46" s="12" t="s">
        <v>409</v>
      </c>
      <c r="B46" s="10" t="s">
        <v>194</v>
      </c>
      <c r="C46" s="14" t="n">
        <f aca="false">Inputs_Yearly!$E$12</f>
        <v>1680</v>
      </c>
      <c r="D46" s="14" t="n">
        <f aca="false">Inputs_Yearly!$F$12</f>
        <v>1580</v>
      </c>
      <c r="E46" s="14" t="n">
        <f aca="false">Inputs_Yearly!$G$12</f>
        <v>1330</v>
      </c>
      <c r="F46" s="14" t="n">
        <f aca="false">Inputs_Yearly!$H$12</f>
        <v>1210</v>
      </c>
      <c r="G46" s="14" t="n">
        <f aca="false">Inputs_Yearly!$I$12</f>
        <v>1100</v>
      </c>
    </row>
    <row r="47" customFormat="false" ht="15" hidden="false" customHeight="false" outlineLevel="0" collapsed="false">
      <c r="A47" s="12" t="s">
        <v>410</v>
      </c>
      <c r="B47" s="10" t="s">
        <v>194</v>
      </c>
      <c r="C47" s="14" t="n">
        <f aca="false">Inputs_Yearly!$E$24*Inputs_Yearly!$E$28+Inputs!$D$66*Inputs!$D$67+Inputs!$D$68</f>
        <v>50.2</v>
      </c>
      <c r="D47" s="14" t="n">
        <f aca="false">Inputs_Yearly!$F$24*Inputs_Yearly!$F$28+Inputs!$D$66*Inputs!$D$67+Inputs!$D$68</f>
        <v>48.2</v>
      </c>
      <c r="E47" s="14" t="n">
        <f aca="false">Inputs_Yearly!$G$24*Inputs_Yearly!$G$28+Inputs!$D$66*Inputs!$D$67+Inputs!$D$68</f>
        <v>45.2</v>
      </c>
      <c r="F47" s="14" t="n">
        <f aca="false">Inputs_Yearly!$H$24*Inputs_Yearly!$H$28+Inputs!$D$66*Inputs!$D$67+Inputs!$D$68</f>
        <v>42.2</v>
      </c>
      <c r="G47" s="14" t="n">
        <f aca="false">Inputs_Yearly!$I$24*Inputs_Yearly!$I$28+Inputs!$D$66*Inputs!$D$67+Inputs!$D$68</f>
        <v>40.2</v>
      </c>
    </row>
    <row r="48" customFormat="false" ht="15" hidden="false" customHeight="false" outlineLevel="0" collapsed="false">
      <c r="A48" s="12" t="s">
        <v>411</v>
      </c>
      <c r="B48" s="10" t="s">
        <v>194</v>
      </c>
      <c r="C48" s="24" t="n">
        <f aca="false">(C5+C6)*C45+C8*Inputs!$D$62+C7*Inputs!$D$63</f>
        <v>0</v>
      </c>
      <c r="D48" s="24" t="n">
        <f aca="false">(D5+D6)*D45+D8*Inputs!$D$62+D7*Inputs!$D$63</f>
        <v>963</v>
      </c>
      <c r="E48" s="24" t="n">
        <f aca="false">(E5+E6)*E45+E8*Inputs!$D$62+E7*Inputs!$D$63</f>
        <v>8970</v>
      </c>
      <c r="F48" s="24" t="n">
        <f aca="false">(F5+F6)*F45+F8*Inputs!$D$62+F7*Inputs!$D$63</f>
        <v>27642</v>
      </c>
      <c r="G48" s="24" t="n">
        <f aca="false">(G5+G6)*G45+G8*Inputs!$D$62+G7*Inputs!$D$63</f>
        <v>55430</v>
      </c>
      <c r="H48" s="24" t="n">
        <f aca="false">SUM(C48:G48)</f>
        <v>93005</v>
      </c>
    </row>
    <row r="49" customFormat="false" ht="15" hidden="false" customHeight="false" outlineLevel="0" collapsed="false">
      <c r="A49" s="10" t="s">
        <v>412</v>
      </c>
      <c r="B49" s="10" t="s">
        <v>194</v>
      </c>
      <c r="C49" s="24" t="n">
        <f aca="false">(C5+C6+C8+C7)*Inputs!$D$64</f>
        <v>0</v>
      </c>
      <c r="D49" s="24" t="n">
        <f aca="false">(D5+D6+D8+D7)*Inputs!$D$64</f>
        <v>75</v>
      </c>
      <c r="E49" s="24" t="n">
        <f aca="false">(E5+E6+E8+E7)*Inputs!$D$64</f>
        <v>750</v>
      </c>
      <c r="F49" s="24" t="n">
        <f aca="false">(F5+F6+F8+F7)*Inputs!$D$64</f>
        <v>2625</v>
      </c>
      <c r="G49" s="24" t="n">
        <f aca="false">(G5+G6+G8+G7)*Inputs!$D$64</f>
        <v>5750</v>
      </c>
      <c r="H49" s="24" t="n">
        <f aca="false">SUM(C49:G49)</f>
        <v>9200</v>
      </c>
    </row>
    <row r="50" customFormat="false" ht="15" hidden="false" customHeight="false" outlineLevel="0" collapsed="false">
      <c r="A50" s="12" t="s">
        <v>413</v>
      </c>
      <c r="B50" s="10" t="s">
        <v>194</v>
      </c>
      <c r="C50" s="24" t="n">
        <f aca="false">(C18+C20)*C46</f>
        <v>0</v>
      </c>
      <c r="D50" s="24" t="n">
        <f aca="false">(D18+D20)*D46</f>
        <v>3318</v>
      </c>
      <c r="E50" s="24" t="n">
        <f aca="false">(E18+E20)*E46</f>
        <v>20947.5</v>
      </c>
      <c r="F50" s="24" t="n">
        <f aca="false">(F18+F20)*F46</f>
        <v>98766.25</v>
      </c>
      <c r="G50" s="24" t="n">
        <f aca="false">(G18+G20)*G46</f>
        <v>202448.125</v>
      </c>
      <c r="H50" s="24" t="n">
        <f aca="false">SUM(C50:G50)</f>
        <v>325479.875</v>
      </c>
    </row>
    <row r="51" customFormat="false" ht="15" hidden="false" customHeight="false" outlineLevel="0" collapsed="false">
      <c r="A51" s="12" t="s">
        <v>414</v>
      </c>
      <c r="B51" s="10" t="s">
        <v>194</v>
      </c>
      <c r="C51" s="24" t="n">
        <f aca="false">(C14-C7)*Inputs_Yearly!$E$16+C7*Inputs_Yearly!$E$20</f>
        <v>0</v>
      </c>
      <c r="D51" s="24" t="n">
        <f aca="false">(D14-D7)*Inputs_Yearly!$F$16+D7*Inputs_Yearly!$F$20</f>
        <v>300</v>
      </c>
      <c r="E51" s="24" t="n">
        <f aca="false">(E14-E7)*Inputs_Yearly!$G$16+E7*Inputs_Yearly!$G$20</f>
        <v>1687.5</v>
      </c>
      <c r="F51" s="24" t="n">
        <f aca="false">(F14-F7)*Inputs_Yearly!$H$16+F7*Inputs_Yearly!$H$20</f>
        <v>5390.75</v>
      </c>
      <c r="G51" s="24" t="n">
        <f aca="false">(G14-G7)*Inputs_Yearly!$I$16+G7*Inputs_Yearly!$I$20</f>
        <v>11322.40625</v>
      </c>
      <c r="H51" s="24" t="n">
        <f aca="false">SUM(C51:G51)</f>
        <v>18700.65625</v>
      </c>
    </row>
    <row r="52" customFormat="false" ht="15" hidden="false" customHeight="false" outlineLevel="0" collapsed="false">
      <c r="A52" s="12" t="s">
        <v>415</v>
      </c>
      <c r="B52" s="10" t="s">
        <v>194</v>
      </c>
      <c r="C52" s="14" t="n">
        <f aca="false">Inputs!$D$65*C37</f>
        <v>0</v>
      </c>
      <c r="D52" s="14" t="n">
        <f aca="false">Inputs!$D$65*D37</f>
        <v>40.635</v>
      </c>
      <c r="E52" s="14" t="n">
        <f aca="false">Inputs!$D$65*E37</f>
        <v>1015.875</v>
      </c>
      <c r="F52" s="14" t="n">
        <f aca="false">Inputs!$D$65*F37</f>
        <v>5043.690375</v>
      </c>
      <c r="G52" s="14" t="n">
        <f aca="false">Inputs!$D$65*G37</f>
        <v>11372.24735625</v>
      </c>
      <c r="H52" s="24" t="n">
        <f aca="false">SUM(C52:G52)</f>
        <v>17472.44773125</v>
      </c>
    </row>
    <row r="53" customFormat="false" ht="15" hidden="false" customHeight="false" outlineLevel="0" collapsed="false">
      <c r="A53" s="12" t="s">
        <v>416</v>
      </c>
      <c r="B53" s="10" t="s">
        <v>194</v>
      </c>
      <c r="C53" s="24" t="n">
        <f aca="false">C19*C46</f>
        <v>0</v>
      </c>
      <c r="D53" s="24" t="n">
        <f aca="false">D19*D46</f>
        <v>1422</v>
      </c>
      <c r="E53" s="24" t="n">
        <f aca="false">E19*E46</f>
        <v>8977.5</v>
      </c>
      <c r="F53" s="24" t="n">
        <f aca="false">F19*F46</f>
        <v>0</v>
      </c>
      <c r="G53" s="24" t="n">
        <f aca="false">G19*G46</f>
        <v>0</v>
      </c>
      <c r="H53" s="24" t="n">
        <f aca="false">SUM(C53:G53)</f>
        <v>10399.5</v>
      </c>
    </row>
    <row r="54" customFormat="false" ht="15" hidden="false" customHeight="false" outlineLevel="0" collapsed="false">
      <c r="A54" s="12" t="s">
        <v>417</v>
      </c>
      <c r="B54" s="10" t="s">
        <v>194</v>
      </c>
      <c r="C54" s="24" t="n">
        <f aca="false">0+C53</f>
        <v>0</v>
      </c>
      <c r="D54" s="24" t="n">
        <f aca="false">C54+D53</f>
        <v>1422</v>
      </c>
      <c r="E54" s="24" t="n">
        <f aca="false">D54+E53</f>
        <v>10399.5</v>
      </c>
      <c r="F54" s="24" t="n">
        <f aca="false">E54+F53</f>
        <v>10399.5</v>
      </c>
      <c r="G54" s="24" t="n">
        <f aca="false">F54+G53</f>
        <v>10399.5</v>
      </c>
    </row>
    <row r="55" customFormat="false" ht="15" hidden="false" customHeight="false" outlineLevel="0" collapsed="false">
      <c r="A55" s="12" t="s">
        <v>418</v>
      </c>
      <c r="B55" s="10" t="s">
        <v>194</v>
      </c>
      <c r="C55" s="24" t="n">
        <f aca="false">0*(1-Inputs!$D$75)/5+C53*(1-Inputs!$D$75)/5*0.5</f>
        <v>0</v>
      </c>
      <c r="D55" s="24" t="n">
        <f aca="false">C54*(1-Inputs!$D$75)/5+D53*(1-Inputs!$D$75)/5*0.5</f>
        <v>120.87</v>
      </c>
      <c r="E55" s="24" t="n">
        <f aca="false">D54*(1-Inputs!$D$75)/5+E53*(1-Inputs!$D$75)/5*0.5</f>
        <v>1004.8275</v>
      </c>
      <c r="F55" s="24" t="n">
        <f aca="false">E54*(1-Inputs!$D$75)/5+F53*(1-Inputs!$D$75)/5*0.5</f>
        <v>1767.915</v>
      </c>
      <c r="G55" s="24" t="n">
        <f aca="false">F54*(1-Inputs!$D$75)/5+G53*(1-Inputs!$D$75)/5*0.5</f>
        <v>1767.915</v>
      </c>
      <c r="H55" s="24" t="n">
        <f aca="false">SUM(C55:G55)</f>
        <v>4661.5275</v>
      </c>
    </row>
    <row r="56" customFormat="false" ht="15" hidden="false" customHeight="false" outlineLevel="0" collapsed="false">
      <c r="A56" s="12" t="s">
        <v>419</v>
      </c>
      <c r="B56" s="10" t="s">
        <v>194</v>
      </c>
      <c r="C56" s="24" t="n">
        <f aca="false">(C23*Inputs!$D$51+C25+C27)*C47</f>
        <v>0</v>
      </c>
      <c r="D56" s="24" t="n">
        <f aca="false">(D23*Inputs!$D$51+D25+D27)*D47</f>
        <v>49.5255</v>
      </c>
      <c r="E56" s="24" t="n">
        <f aca="false">(E23*Inputs!$D$51+E25+E27)*E47</f>
        <v>441.2085</v>
      </c>
      <c r="F56" s="24" t="n">
        <f aca="false">(F23*Inputs!$D$51+F25+F27)*F47</f>
        <v>1955.64690625</v>
      </c>
      <c r="G56" s="24" t="n">
        <f aca="false">(G23*Inputs!$D$51+G25+G27)*G47</f>
        <v>5640.9710953125</v>
      </c>
      <c r="H56" s="24" t="n">
        <f aca="false">SUM(C56:G56)</f>
        <v>8087.3520015625</v>
      </c>
    </row>
    <row r="57" customFormat="false" ht="15" hidden="false" customHeight="false" outlineLevel="0" collapsed="false">
      <c r="A57" s="12" t="s">
        <v>420</v>
      </c>
      <c r="B57" s="10" t="s">
        <v>194</v>
      </c>
      <c r="C57" s="24" t="n">
        <f aca="false">C40*Inputs!$D$69+(C25+C27)*C34*Inputs!$D$69</f>
        <v>0</v>
      </c>
      <c r="D57" s="24" t="n">
        <f aca="false">D40*Inputs!$D$69+(D25+D27)*D34*Inputs!$D$69</f>
        <v>13.338</v>
      </c>
      <c r="E57" s="24" t="n">
        <f aca="false">E40*Inputs!$D$69+(E25+E27)*E34*Inputs!$D$69</f>
        <v>126.711</v>
      </c>
      <c r="F57" s="24" t="n">
        <f aca="false">F40*Inputs!$D$69+(F25+F27)*F34*Inputs!$D$69</f>
        <v>596.262375</v>
      </c>
      <c r="G57" s="24" t="n">
        <f aca="false">G40*Inputs!$D$69+(G25+G27)*G34*Inputs!$D$69</f>
        <v>1798.94480625</v>
      </c>
      <c r="H57" s="24" t="n">
        <f aca="false">SUM(C57:G57)</f>
        <v>2535.25618125</v>
      </c>
    </row>
    <row r="58" customFormat="false" ht="15" hidden="false" customHeight="false" outlineLevel="0" collapsed="false">
      <c r="A58" s="12" t="s">
        <v>421</v>
      </c>
      <c r="B58" s="10" t="s">
        <v>194</v>
      </c>
      <c r="C58" s="24" t="n">
        <f aca="false">0*Inputs!$D$53*Inputs!$D$52*Inputs!$D$70+0*Inputs!$D$55*Inputs!$D$54*Inputs!$D$71</f>
        <v>0</v>
      </c>
      <c r="D58" s="24" t="n">
        <f aca="false">C14*Inputs!$D$53*Inputs!$D$52*Inputs!$D$70+0*Inputs!$D$55*Inputs!$D$54*Inputs!$D$71</f>
        <v>0</v>
      </c>
      <c r="E58" s="24" t="n">
        <f aca="false">D14*Inputs!$D$53*Inputs!$D$52*Inputs!$D$70+C14*Inputs!$D$55*Inputs!$D$54*Inputs!$D$71</f>
        <v>1.8</v>
      </c>
      <c r="F58" s="24" t="n">
        <f aca="false">E14*Inputs!$D$53*Inputs!$D$52*Inputs!$D$70+D14*Inputs!$D$55*Inputs!$D$54*Inputs!$D$71</f>
        <v>29.7</v>
      </c>
      <c r="G58" s="24" t="n">
        <f aca="false">F14*Inputs!$D$53*Inputs!$D$52*Inputs!$D$70+E14*Inputs!$D$55*Inputs!$D$54*Inputs!$D$71</f>
        <v>170.475</v>
      </c>
      <c r="H58" s="24" t="n">
        <f aca="false">SUM(C58:G58)</f>
        <v>201.975</v>
      </c>
    </row>
    <row r="59" customFormat="false" ht="15" hidden="false" customHeight="false" outlineLevel="0" collapsed="false">
      <c r="A59" s="12" t="s">
        <v>422</v>
      </c>
      <c r="B59" s="10" t="s">
        <v>194</v>
      </c>
      <c r="C59" s="24" t="n">
        <f aca="false">C48+C49+C50+C51+C52+C55+C56+C57+C58</f>
        <v>0</v>
      </c>
      <c r="D59" s="24" t="n">
        <f aca="false">D48+D49+D50+D51+D52+D55+D56+D57+D58</f>
        <v>4880.3685</v>
      </c>
      <c r="E59" s="24" t="n">
        <f aca="false">E48+E49+E50+E51+E52+E55+E56+E57+E58</f>
        <v>34945.422</v>
      </c>
      <c r="F59" s="24" t="n">
        <f aca="false">F48+F49+F50+F51+F52+F55+F56+F57+F58</f>
        <v>143817.21465625</v>
      </c>
      <c r="G59" s="24" t="n">
        <f aca="false">G48+G49+G50+G51+G52+G55+G56+G57+G58</f>
        <v>295701.084507812</v>
      </c>
      <c r="H59" s="24" t="n">
        <f aca="false">SUM(C59:G59)</f>
        <v>479344.089664063</v>
      </c>
    </row>
    <row r="60" customFormat="false" ht="15" hidden="false" customHeight="false" outlineLevel="0" collapsed="false">
      <c r="A60" s="25" t="s">
        <v>31</v>
      </c>
      <c r="B60" s="10" t="s">
        <v>194</v>
      </c>
      <c r="C60" s="24" t="n">
        <f aca="false">C42-C59</f>
        <v>0</v>
      </c>
      <c r="D60" s="24" t="n">
        <f aca="false">D42-D59</f>
        <v>-3429.5685</v>
      </c>
      <c r="E60" s="24" t="n">
        <f aca="false">E42-E59</f>
        <v>1148.02799999999</v>
      </c>
      <c r="F60" s="24" t="n">
        <f aca="false">F42-F59</f>
        <v>9469.23971874997</v>
      </c>
      <c r="G60" s="24" t="n">
        <f aca="false">G42-G59</f>
        <v>44150.5433984376</v>
      </c>
      <c r="H60" s="24" t="n">
        <f aca="false">SUM(C60:G60)</f>
        <v>51338.2426171875</v>
      </c>
    </row>
    <row r="61" customFormat="false" ht="15" hidden="false" customHeight="false" outlineLevel="0" collapsed="false">
      <c r="A61" s="10" t="s">
        <v>32</v>
      </c>
      <c r="B61" s="12" t="s">
        <v>33</v>
      </c>
      <c r="C61" s="26" t="n">
        <f aca="false">IF(C42=0,0,C60/C42)</f>
        <v>0</v>
      </c>
      <c r="D61" s="26" t="n">
        <f aca="false">IF(D42=0,0,D60/D42)</f>
        <v>-2.36391542597188</v>
      </c>
      <c r="E61" s="26" t="n">
        <f aca="false">IF(E42=0,0,E60/E42)</f>
        <v>0.0318071007343435</v>
      </c>
      <c r="F61" s="26" t="n">
        <f aca="false">IF(F42=0,0,F60/F42)</f>
        <v>0.0617747977625239</v>
      </c>
      <c r="G61" s="26" t="n">
        <f aca="false">IF(G42=0,0,G60/G42)</f>
        <v>0.129911231175908</v>
      </c>
    </row>
    <row r="62" customFormat="false" ht="15" hidden="false" customHeight="false" outlineLevel="0" collapsed="false">
      <c r="A62" s="15" t="s">
        <v>423</v>
      </c>
      <c r="B62" s="16"/>
      <c r="C62" s="16"/>
      <c r="D62" s="16"/>
      <c r="E62" s="16"/>
      <c r="F62" s="16"/>
      <c r="G62" s="16"/>
      <c r="H62" s="16"/>
    </row>
    <row r="63" customFormat="false" ht="15" hidden="false" customHeight="false" outlineLevel="0" collapsed="false">
      <c r="A63" s="12" t="s">
        <v>424</v>
      </c>
      <c r="B63" s="10" t="s">
        <v>194</v>
      </c>
      <c r="C63" s="14" t="n">
        <f aca="false">Inputs!$D$72*(C6*(Inputs!$D$34*C31+C10*(Inputs!$D$37+Inputs!$D$38)*C31)+C7*(Inputs!$D$36+Inputs!$D$37+Inputs!$D$39)*C31)</f>
        <v>0</v>
      </c>
      <c r="D63" s="14" t="n">
        <f aca="false">Inputs!$D$72*(D6*(Inputs!$D$34*D31+D10*(Inputs!$D$37+Inputs!$D$38)*D31)+D7*(Inputs!$D$36+Inputs!$D$37+Inputs!$D$39)*D31)</f>
        <v>0</v>
      </c>
      <c r="E63" s="14" t="n">
        <f aca="false">Inputs!$D$72*(E6*(Inputs!$D$34*E31+E10*(Inputs!$D$37+Inputs!$D$38)*E31)+E7*(Inputs!$D$36+Inputs!$D$37+Inputs!$D$39)*E31)</f>
        <v>1713</v>
      </c>
      <c r="F63" s="14" t="n">
        <f aca="false">Inputs!$D$72*(F6*(Inputs!$D$34*F31+F10*(Inputs!$D$37+Inputs!$D$38)*F31)+F7*(Inputs!$D$36+Inputs!$D$37+Inputs!$D$39)*F31)</f>
        <v>12150</v>
      </c>
      <c r="G63" s="14" t="n">
        <f aca="false">Inputs!$D$72*(G6*(Inputs!$D$34*G31+G10*(Inputs!$D$37+Inputs!$D$38)*G31)+G7*(Inputs!$D$36+Inputs!$D$37+Inputs!$D$39)*G31)</f>
        <v>33183</v>
      </c>
      <c r="H63" s="24" t="n">
        <f aca="false">SUM(C63:G63)</f>
        <v>47046</v>
      </c>
    </row>
    <row r="64" customFormat="false" ht="15" hidden="false" customHeight="false" outlineLevel="0" collapsed="false">
      <c r="A64" s="10" t="s">
        <v>425</v>
      </c>
      <c r="B64" s="10" t="s">
        <v>194</v>
      </c>
      <c r="C64" s="24" t="n">
        <f aca="false">C5*Inputs!$D$73</f>
        <v>0</v>
      </c>
      <c r="D64" s="24" t="n">
        <f aca="false">D5*Inputs!$D$73</f>
        <v>540</v>
      </c>
      <c r="E64" s="24" t="n">
        <f aca="false">E5*Inputs!$D$73</f>
        <v>3600</v>
      </c>
      <c r="F64" s="24" t="n">
        <f aca="false">F5*Inputs!$D$73</f>
        <v>6300</v>
      </c>
      <c r="G64" s="24" t="n">
        <f aca="false">G5*Inputs!$D$73</f>
        <v>7200</v>
      </c>
      <c r="H64" s="24" t="n">
        <f aca="false">SUM(C64:G64)</f>
        <v>17640</v>
      </c>
    </row>
    <row r="65" customFormat="false" ht="15" hidden="false" customHeight="false" outlineLevel="0" collapsed="false">
      <c r="A65" s="10" t="s">
        <v>426</v>
      </c>
      <c r="B65" s="10" t="s">
        <v>194</v>
      </c>
      <c r="C65" s="14" t="n">
        <f aca="false">Inputs_Yearly!$E$56*Inputs!$D$74</f>
        <v>0</v>
      </c>
      <c r="D65" s="14" t="n">
        <f aca="false">Inputs_Yearly!$F$56*Inputs!$D$74</f>
        <v>0</v>
      </c>
      <c r="E65" s="14" t="n">
        <f aca="false">Inputs_Yearly!$G$56*Inputs!$D$74</f>
        <v>0</v>
      </c>
      <c r="F65" s="14" t="n">
        <f aca="false">Inputs_Yearly!$H$56*Inputs!$D$74</f>
        <v>2000</v>
      </c>
      <c r="G65" s="14" t="n">
        <f aca="false">Inputs_Yearly!$I$56*Inputs!$D$74</f>
        <v>4000</v>
      </c>
      <c r="H65" s="24" t="n">
        <f aca="false">SUM(C65:G65)</f>
        <v>6000</v>
      </c>
    </row>
    <row r="66" customFormat="false" ht="15" hidden="false" customHeight="false" outlineLevel="0" collapsed="false">
      <c r="A66" s="18" t="s">
        <v>427</v>
      </c>
      <c r="B66" s="10" t="s">
        <v>194</v>
      </c>
      <c r="C66" s="24" t="n">
        <f aca="false">C60-C63-C64-C65</f>
        <v>0</v>
      </c>
      <c r="D66" s="24" t="n">
        <f aca="false">D60-D63-D64-D65</f>
        <v>-3969.5685</v>
      </c>
      <c r="E66" s="24" t="n">
        <f aca="false">E60-E63-E64-E65</f>
        <v>-4164.97200000001</v>
      </c>
      <c r="F66" s="24" t="n">
        <f aca="false">F60-F63-F64-F65</f>
        <v>-10980.76028125</v>
      </c>
      <c r="G66" s="24" t="n">
        <f aca="false">G60-G63-G64-G65</f>
        <v>-232.456601562444</v>
      </c>
      <c r="H66" s="24" t="n">
        <f aca="false">SUM(C66:G66)</f>
        <v>-19347.7573828125</v>
      </c>
    </row>
    <row r="67" customFormat="false" ht="15" hidden="false" customHeight="false" outlineLevel="0" collapsed="false">
      <c r="A67" s="10" t="s">
        <v>428</v>
      </c>
      <c r="B67" s="10" t="s">
        <v>194</v>
      </c>
      <c r="C67" s="14" t="n">
        <f aca="false">Inputs_Yearly!$E$60*Inputs_Yearly!$E$64</f>
        <v>55825</v>
      </c>
      <c r="D67" s="14" t="n">
        <f aca="false">Inputs_Yearly!$F$60*Inputs_Yearly!$F$64</f>
        <v>97050</v>
      </c>
      <c r="E67" s="14" t="n">
        <f aca="false">Inputs_Yearly!$G$60*Inputs_Yearly!$G$64</f>
        <v>170000</v>
      </c>
      <c r="F67" s="14" t="n">
        <f aca="false">Inputs_Yearly!$H$60*Inputs_Yearly!$H$64</f>
        <v>272000</v>
      </c>
      <c r="G67" s="14" t="n">
        <f aca="false">Inputs_Yearly!$I$60*Inputs_Yearly!$I$64</f>
        <v>357000</v>
      </c>
      <c r="H67" s="24" t="n">
        <f aca="false">SUM(C67:G67)</f>
        <v>951875</v>
      </c>
    </row>
    <row r="68" customFormat="false" ht="15" hidden="false" customHeight="false" outlineLevel="0" collapsed="false">
      <c r="A68" s="10" t="s">
        <v>429</v>
      </c>
      <c r="B68" s="10" t="s">
        <v>194</v>
      </c>
      <c r="C68" s="14" t="n">
        <f aca="false">Inputs_Yearly!$E$68+Inputs_Yearly!$E$72+Inputs_Yearly!$E$76+Inputs_Yearly!$E$80+Inputs_Yearly!$E$84+Inputs_Yearly!$E$88+Inputs_Yearly!$E$92+Inputs_Yearly!$E$96+Inputs_Yearly!$E$100+Inputs_Yearly!$E$104+Inputs_Yearly!$E$108+Inputs_Yearly!$E$112</f>
        <v>36342.75</v>
      </c>
      <c r="D68" s="14" t="n">
        <f aca="false">Inputs_Yearly!$F$68+Inputs_Yearly!$F$72+Inputs_Yearly!$F$76+Inputs_Yearly!$F$80+Inputs_Yearly!$F$84+Inputs_Yearly!$F$88+Inputs_Yearly!$F$92+Inputs_Yearly!$F$96+Inputs_Yearly!$F$100+Inputs_Yearly!$F$104+Inputs_Yearly!$F$108+Inputs_Yearly!$F$112</f>
        <v>41116</v>
      </c>
      <c r="E68" s="14" t="n">
        <f aca="false">Inputs_Yearly!$G$68+Inputs_Yearly!$G$72+Inputs_Yearly!$G$76+Inputs_Yearly!$G$80+Inputs_Yearly!$G$84+Inputs_Yearly!$G$88+Inputs_Yearly!$G$92+Inputs_Yearly!$G$96+Inputs_Yearly!$G$100+Inputs_Yearly!$G$104+Inputs_Yearly!$G$108+Inputs_Yearly!$G$112</f>
        <v>135000</v>
      </c>
      <c r="F68" s="14" t="n">
        <f aca="false">Inputs_Yearly!$H$68+Inputs_Yearly!$H$72+Inputs_Yearly!$H$76+Inputs_Yearly!$H$80+Inputs_Yearly!$H$84+Inputs_Yearly!$H$88+Inputs_Yearly!$H$92+Inputs_Yearly!$H$96+Inputs_Yearly!$H$100+Inputs_Yearly!$H$104+Inputs_Yearly!$H$108+Inputs_Yearly!$H$112</f>
        <v>167000</v>
      </c>
      <c r="G68" s="14" t="n">
        <f aca="false">Inputs_Yearly!$I$68+Inputs_Yearly!$I$72+Inputs_Yearly!$I$76+Inputs_Yearly!$I$80+Inputs_Yearly!$I$84+Inputs_Yearly!$I$88+Inputs_Yearly!$I$92+Inputs_Yearly!$I$96+Inputs_Yearly!$I$100+Inputs_Yearly!$I$104+Inputs_Yearly!$I$108+Inputs_Yearly!$I$112</f>
        <v>210000</v>
      </c>
      <c r="H68" s="24" t="n">
        <f aca="false">SUM(C68:G68)</f>
        <v>589458.75</v>
      </c>
    </row>
    <row r="69" customFormat="false" ht="15" hidden="false" customHeight="false" outlineLevel="0" collapsed="false">
      <c r="A69" s="12" t="s">
        <v>430</v>
      </c>
      <c r="B69" s="10" t="s">
        <v>194</v>
      </c>
      <c r="C69" s="24" t="n">
        <f aca="false">C67+C68</f>
        <v>92167.75</v>
      </c>
      <c r="D69" s="24" t="n">
        <f aca="false">D67+D68</f>
        <v>138166</v>
      </c>
      <c r="E69" s="24" t="n">
        <f aca="false">E67+E68</f>
        <v>305000</v>
      </c>
      <c r="F69" s="24" t="n">
        <f aca="false">F67+F68</f>
        <v>439000</v>
      </c>
      <c r="G69" s="24" t="n">
        <f aca="false">G67+G68</f>
        <v>567000</v>
      </c>
      <c r="H69" s="24" t="n">
        <f aca="false">SUM(C69:G69)</f>
        <v>1541333.75</v>
      </c>
    </row>
    <row r="70" customFormat="false" ht="15" hidden="false" customHeight="false" outlineLevel="0" collapsed="false">
      <c r="A70" s="25" t="s">
        <v>431</v>
      </c>
      <c r="B70" s="10" t="s">
        <v>194</v>
      </c>
      <c r="C70" s="24" t="n">
        <f aca="false">C66-C69</f>
        <v>-92167.75</v>
      </c>
      <c r="D70" s="24" t="n">
        <f aca="false">D66-D69</f>
        <v>-142135.5685</v>
      </c>
      <c r="E70" s="24" t="n">
        <f aca="false">E66-E69</f>
        <v>-309164.972</v>
      </c>
      <c r="F70" s="24" t="n">
        <f aca="false">F66-F69</f>
        <v>-449980.76028125</v>
      </c>
      <c r="G70" s="24" t="n">
        <f aca="false">G66-G69</f>
        <v>-567232.456601562</v>
      </c>
      <c r="H70" s="24" t="n">
        <f aca="false">SUM(C70:G70)</f>
        <v>-1560681.50738281</v>
      </c>
    </row>
    <row r="71" customFormat="false" ht="15" hidden="false" customHeight="false" outlineLevel="0" collapsed="false">
      <c r="A71" s="10" t="s">
        <v>432</v>
      </c>
      <c r="B71" s="10" t="s">
        <v>194</v>
      </c>
      <c r="C71" s="24" t="n">
        <f aca="false">C70+C55-C53</f>
        <v>-92167.75</v>
      </c>
      <c r="D71" s="24" t="n">
        <f aca="false">D70+D55-D53</f>
        <v>-143436.6985</v>
      </c>
      <c r="E71" s="24" t="n">
        <f aca="false">E70+E55-E53</f>
        <v>-317137.6445</v>
      </c>
      <c r="F71" s="24" t="n">
        <f aca="false">F70+F55-F53</f>
        <v>-448212.84528125</v>
      </c>
      <c r="G71" s="24" t="n">
        <f aca="false">G70+G55-G53</f>
        <v>-565464.541601562</v>
      </c>
      <c r="H71" s="24" t="n">
        <f aca="false">SUM(C71:G71)</f>
        <v>-1566419.47988281</v>
      </c>
    </row>
    <row r="72" customFormat="false" ht="15" hidden="false" customHeight="false" outlineLevel="0" collapsed="false">
      <c r="A72" s="10" t="s">
        <v>37</v>
      </c>
      <c r="B72" s="10" t="s">
        <v>194</v>
      </c>
      <c r="C72" s="24" t="n">
        <f aca="false">0+C71</f>
        <v>-92167.75</v>
      </c>
      <c r="D72" s="24" t="n">
        <f aca="false">C72+D71</f>
        <v>-235604.4485</v>
      </c>
      <c r="E72" s="24" t="n">
        <f aca="false">D72+E71</f>
        <v>-552742.093</v>
      </c>
      <c r="F72" s="24" t="n">
        <f aca="false">E72+F71</f>
        <v>-1000954.93828125</v>
      </c>
      <c r="G72" s="24" t="n">
        <f aca="false">F72+G71</f>
        <v>-1566419.47988281</v>
      </c>
    </row>
    <row r="73" customFormat="false" ht="15" hidden="false" customHeight="false" outlineLevel="0" collapsed="false">
      <c r="A73" s="15" t="s">
        <v>433</v>
      </c>
      <c r="B73" s="16"/>
      <c r="C73" s="16"/>
      <c r="D73" s="16"/>
      <c r="E73" s="16"/>
      <c r="F73" s="16"/>
      <c r="G73" s="16"/>
      <c r="H73" s="16"/>
    </row>
    <row r="74" customFormat="false" ht="15" hidden="false" customHeight="false" outlineLevel="0" collapsed="false">
      <c r="A74" s="12" t="s">
        <v>434</v>
      </c>
      <c r="B74" s="10" t="s">
        <v>194</v>
      </c>
      <c r="C74" s="24" t="n">
        <f aca="false">C35+C36+C37</f>
        <v>0</v>
      </c>
      <c r="D74" s="24" t="n">
        <f aca="false">D35+D36+D37</f>
        <v>1244.7</v>
      </c>
      <c r="E74" s="24" t="n">
        <f aca="false">E35+E36+E37</f>
        <v>34117.5</v>
      </c>
      <c r="F74" s="24" t="n">
        <f aca="false">F35+F36+F37</f>
        <v>147303.8075</v>
      </c>
      <c r="G74" s="24" t="n">
        <f aca="false">G35+G36+G37</f>
        <v>325768.447125</v>
      </c>
      <c r="H74" s="24" t="n">
        <f aca="false">SUM(C74:G74)</f>
        <v>508434.454625</v>
      </c>
    </row>
    <row r="75" customFormat="false" ht="15" hidden="false" customHeight="false" outlineLevel="0" collapsed="false">
      <c r="A75" s="12" t="s">
        <v>435</v>
      </c>
      <c r="B75" s="10" t="s">
        <v>194</v>
      </c>
      <c r="C75" s="24" t="n">
        <f aca="false">C35+C36</f>
        <v>0</v>
      </c>
      <c r="D75" s="24" t="n">
        <f aca="false">D35+D36</f>
        <v>432</v>
      </c>
      <c r="E75" s="24" t="n">
        <f aca="false">E35+E36</f>
        <v>13800</v>
      </c>
      <c r="F75" s="24" t="n">
        <f aca="false">F35+F36</f>
        <v>46430</v>
      </c>
      <c r="G75" s="24" t="n">
        <f aca="false">G35+G36</f>
        <v>98323.5</v>
      </c>
      <c r="H75" s="24" t="n">
        <f aca="false">SUM(C75:G75)</f>
        <v>158985.5</v>
      </c>
    </row>
    <row r="76" customFormat="false" ht="15" hidden="false" customHeight="false" outlineLevel="0" collapsed="false">
      <c r="A76" s="12" t="s">
        <v>436</v>
      </c>
      <c r="B76" s="10" t="s">
        <v>194</v>
      </c>
      <c r="C76" s="24" t="n">
        <f aca="false">C38+C39+C40</f>
        <v>0</v>
      </c>
      <c r="D76" s="24" t="n">
        <f aca="false">D38+D39+D40</f>
        <v>206.1</v>
      </c>
      <c r="E76" s="24" t="n">
        <f aca="false">E38+E39+E40</f>
        <v>1957.95</v>
      </c>
      <c r="F76" s="24" t="n">
        <f aca="false">F38+F39+F40</f>
        <v>5811.646875</v>
      </c>
      <c r="G76" s="24" t="n">
        <f aca="false">G38+G39+G40</f>
        <v>13323.43078125</v>
      </c>
      <c r="H76" s="24" t="n">
        <f aca="false">SUM(C76:G76)</f>
        <v>21299.12765625</v>
      </c>
    </row>
    <row r="77" customFormat="false" ht="15" hidden="false" customHeight="false" outlineLevel="0" collapsed="false">
      <c r="A77" s="12" t="s">
        <v>437</v>
      </c>
      <c r="B77" s="10" t="s">
        <v>194</v>
      </c>
      <c r="C77" s="24" t="n">
        <f aca="false">C41</f>
        <v>0</v>
      </c>
      <c r="D77" s="24" t="n">
        <f aca="false">D41</f>
        <v>0</v>
      </c>
      <c r="E77" s="24" t="n">
        <f aca="false">E41</f>
        <v>18</v>
      </c>
      <c r="F77" s="24" t="n">
        <f aca="false">F41</f>
        <v>171</v>
      </c>
      <c r="G77" s="24" t="n">
        <f aca="false">G41</f>
        <v>759.75</v>
      </c>
      <c r="H77" s="24" t="n">
        <f aca="false">SUM(C77:G77)</f>
        <v>948.75</v>
      </c>
    </row>
    <row r="78" customFormat="false" ht="15" hidden="false" customHeight="false" outlineLevel="0" collapsed="false">
      <c r="A78" s="18" t="s">
        <v>438</v>
      </c>
      <c r="B78" s="12" t="s">
        <v>33</v>
      </c>
      <c r="C78" s="26" t="n">
        <f aca="false">IF(C42=0,0,(C76+C77)/C42)</f>
        <v>0</v>
      </c>
      <c r="D78" s="26" t="n">
        <f aca="false">IF(D42=0,0,(D76+D77)/D42)</f>
        <v>0.142059553349876</v>
      </c>
      <c r="E78" s="26" t="n">
        <f aca="false">IF(E42=0,0,(E76+E77)/E42)</f>
        <v>0.054745390091554</v>
      </c>
      <c r="F78" s="26" t="n">
        <f aca="false">IF(F42=0,0,(F76+F77)/F42)</f>
        <v>0.0390291947151707</v>
      </c>
      <c r="G78" s="26" t="n">
        <f aca="false">IF(G42=0,0,(G76+G77)/G42)</f>
        <v>0.0414392035371828</v>
      </c>
    </row>
    <row r="79" customFormat="false" ht="15" hidden="false" customHeight="false" outlineLevel="0" collapsed="false">
      <c r="A79" s="12" t="s">
        <v>439</v>
      </c>
      <c r="B79" s="12" t="s">
        <v>33</v>
      </c>
      <c r="C79" s="26" t="n">
        <f aca="false">IF(C42=0,0,(C37+C76+C41)/C42)</f>
        <v>0</v>
      </c>
      <c r="D79" s="26" t="n">
        <f aca="false">IF(D42=0,0,(D37+D76+D41)/D42)</f>
        <v>0.702233250620348</v>
      </c>
      <c r="E79" s="26" t="n">
        <f aca="false">IF(E42=0,0,(E37+E76+E41)/E42)</f>
        <v>0.617659159764445</v>
      </c>
      <c r="F79" s="26" t="n">
        <f aca="false">IF(F42=0,0,(F37+F76+F41)/F42)</f>
        <v>0.697103046780548</v>
      </c>
      <c r="G79" s="26" t="n">
        <f aca="false">IF(G42=0,0,(G37+G76+G41)/G42)</f>
        <v>0.710686982417153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15"/>
  </cols>
  <sheetData>
    <row r="1" customFormat="false" ht="19.4" hidden="false" customHeight="false" outlineLevel="0" collapsed="false">
      <c r="A1" s="6" t="s">
        <v>440</v>
      </c>
    </row>
    <row r="2" customFormat="false" ht="15" hidden="false" customHeight="false" outlineLevel="0" collapsed="false">
      <c r="A2" s="10" t="s">
        <v>441</v>
      </c>
    </row>
    <row r="3" customFormat="false" ht="15" hidden="false" customHeight="false" outlineLevel="0" collapsed="false">
      <c r="A3" s="9" t="s">
        <v>49</v>
      </c>
      <c r="B3" s="9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369</v>
      </c>
    </row>
    <row r="4" customFormat="false" ht="15" hidden="false" customHeight="false" outlineLevel="0" collapsed="false">
      <c r="A4" s="15" t="s">
        <v>259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12" t="s">
        <v>370</v>
      </c>
      <c r="B5" s="10" t="s">
        <v>39</v>
      </c>
      <c r="C5" s="14" t="n">
        <f aca="false">Inputs_Yearly!$E$33</f>
        <v>0</v>
      </c>
      <c r="D5" s="14" t="n">
        <f aca="false">Inputs_Yearly!$F$33</f>
        <v>3</v>
      </c>
      <c r="E5" s="14" t="n">
        <f aca="false">Inputs_Yearly!$G$33</f>
        <v>30</v>
      </c>
      <c r="F5" s="14" t="n">
        <f aca="false">Inputs_Yearly!$H$33</f>
        <v>50</v>
      </c>
      <c r="G5" s="14" t="n">
        <f aca="false">Inputs_Yearly!$I$33</f>
        <v>60</v>
      </c>
      <c r="H5" s="24" t="n">
        <f aca="false">SUM(C5:G5)</f>
        <v>143</v>
      </c>
    </row>
    <row r="6" customFormat="false" ht="15" hidden="false" customHeight="false" outlineLevel="0" collapsed="false">
      <c r="A6" s="12" t="s">
        <v>371</v>
      </c>
      <c r="B6" s="10" t="s">
        <v>39</v>
      </c>
      <c r="C6" s="14" t="n">
        <f aca="false">Inputs_Yearly!$E$37</f>
        <v>0</v>
      </c>
      <c r="D6" s="14" t="n">
        <f aca="false">Inputs_Yearly!$F$37</f>
        <v>0</v>
      </c>
      <c r="E6" s="14" t="n">
        <f aca="false">Inputs_Yearly!$G$37</f>
        <v>20</v>
      </c>
      <c r="F6" s="14" t="n">
        <f aca="false">Inputs_Yearly!$H$37</f>
        <v>130</v>
      </c>
      <c r="G6" s="14" t="n">
        <f aca="false">Inputs_Yearly!$I$37</f>
        <v>340</v>
      </c>
      <c r="H6" s="24" t="n">
        <f aca="false">SUM(C6:G6)</f>
        <v>490</v>
      </c>
    </row>
    <row r="7" customFormat="false" ht="15" hidden="false" customHeight="false" outlineLevel="0" collapsed="false">
      <c r="A7" s="12" t="s">
        <v>372</v>
      </c>
      <c r="B7" s="10" t="s">
        <v>39</v>
      </c>
      <c r="C7" s="14" t="n">
        <f aca="false">Inputs_Yearly!$E$41</f>
        <v>0</v>
      </c>
      <c r="D7" s="14" t="n">
        <f aca="false">Inputs_Yearly!$F$41</f>
        <v>0</v>
      </c>
      <c r="E7" s="14" t="n">
        <f aca="false">Inputs_Yearly!$G$41</f>
        <v>0</v>
      </c>
      <c r="F7" s="14" t="n">
        <f aca="false">Inputs_Yearly!$H$41</f>
        <v>20</v>
      </c>
      <c r="G7" s="14" t="n">
        <f aca="false">Inputs_Yearly!$I$41</f>
        <v>80</v>
      </c>
      <c r="H7" s="24" t="n">
        <f aca="false">SUM(C7:G7)</f>
        <v>100</v>
      </c>
    </row>
    <row r="8" customFormat="false" ht="15" hidden="false" customHeight="false" outlineLevel="0" collapsed="false">
      <c r="A8" s="12" t="s">
        <v>373</v>
      </c>
      <c r="B8" s="10" t="s">
        <v>39</v>
      </c>
      <c r="C8" s="24" t="n">
        <f aca="false">0</f>
        <v>0</v>
      </c>
      <c r="D8" s="24" t="n">
        <f aca="false">0</f>
        <v>0</v>
      </c>
      <c r="E8" s="14" t="n">
        <f aca="false">Inputs_Yearly!$E$57*Inputs!$E$80*Inputs!$E$81</f>
        <v>0</v>
      </c>
      <c r="F8" s="14" t="n">
        <f aca="false">Inputs_Yearly!$F$57*Inputs!$E$80*Inputs!$E$81</f>
        <v>0</v>
      </c>
      <c r="G8" s="14" t="n">
        <f aca="false">Inputs_Yearly!$G$57*Inputs!$E$80*Inputs!$E$81</f>
        <v>80</v>
      </c>
      <c r="H8" s="24" t="n">
        <f aca="false">SUM(C8:G8)</f>
        <v>80</v>
      </c>
    </row>
    <row r="9" customFormat="false" ht="15" hidden="false" customHeight="false" outlineLevel="0" collapsed="false">
      <c r="A9" s="25" t="s">
        <v>374</v>
      </c>
      <c r="B9" s="10" t="s">
        <v>39</v>
      </c>
      <c r="C9" s="24" t="n">
        <f aca="false">C5+C6+C8+C7</f>
        <v>0</v>
      </c>
      <c r="D9" s="24" t="n">
        <f aca="false">D5+D6+D8+D7</f>
        <v>3</v>
      </c>
      <c r="E9" s="24" t="n">
        <f aca="false">E5+E6+E8+E7</f>
        <v>50</v>
      </c>
      <c r="F9" s="24" t="n">
        <f aca="false">F5+F6+F8+F7</f>
        <v>200</v>
      </c>
      <c r="G9" s="24" t="n">
        <f aca="false">G5+G6+G8+G7</f>
        <v>560</v>
      </c>
      <c r="H9" s="24" t="n">
        <f aca="false">SUM(C9:G9)</f>
        <v>813</v>
      </c>
    </row>
    <row r="10" customFormat="false" ht="15" hidden="false" customHeight="false" outlineLevel="0" collapsed="false">
      <c r="A10" s="12" t="s">
        <v>375</v>
      </c>
      <c r="B10" s="12" t="s">
        <v>33</v>
      </c>
      <c r="C10" s="13" t="n">
        <f aca="false">Inputs_Yearly!$E$45</f>
        <v>1</v>
      </c>
      <c r="D10" s="13" t="n">
        <f aca="false">Inputs_Yearly!$F$45</f>
        <v>1</v>
      </c>
      <c r="E10" s="13" t="n">
        <f aca="false">Inputs_Yearly!$G$45</f>
        <v>0.85</v>
      </c>
      <c r="F10" s="13" t="n">
        <f aca="false">Inputs_Yearly!$H$45</f>
        <v>0.85</v>
      </c>
      <c r="G10" s="13" t="n">
        <f aca="false">Inputs_Yearly!$I$45</f>
        <v>0.85</v>
      </c>
    </row>
    <row r="11" customFormat="false" ht="15" hidden="false" customHeight="false" outlineLevel="0" collapsed="false">
      <c r="A11" s="12" t="s">
        <v>376</v>
      </c>
      <c r="B11" s="10" t="s">
        <v>41</v>
      </c>
      <c r="C11" s="24" t="n">
        <f aca="false">0*Inputs!$E$79</f>
        <v>0</v>
      </c>
      <c r="D11" s="24" t="n">
        <f aca="false">C21*Inputs!$E$79</f>
        <v>0</v>
      </c>
      <c r="E11" s="24" t="n">
        <f aca="false">D21*Inputs!$E$79</f>
        <v>0</v>
      </c>
      <c r="F11" s="24" t="n">
        <f aca="false">E21*Inputs!$E$79</f>
        <v>0.75</v>
      </c>
      <c r="G11" s="24" t="n">
        <f aca="false">F21*Inputs!$E$79</f>
        <v>3.375</v>
      </c>
      <c r="H11" s="24" t="n">
        <f aca="false">SUM(C11:G11)</f>
        <v>4.125</v>
      </c>
    </row>
    <row r="12" customFormat="false" ht="15" hidden="false" customHeight="false" outlineLevel="0" collapsed="false">
      <c r="A12" s="12" t="s">
        <v>377</v>
      </c>
      <c r="B12" s="10" t="s">
        <v>41</v>
      </c>
      <c r="C12" s="24" t="n">
        <f aca="false">(C5+C6)*C10</f>
        <v>0</v>
      </c>
      <c r="D12" s="24" t="n">
        <f aca="false">(D5+D6)*D10</f>
        <v>3</v>
      </c>
      <c r="E12" s="24" t="n">
        <f aca="false">(E5+E6)*E10</f>
        <v>42.5</v>
      </c>
      <c r="F12" s="24" t="n">
        <f aca="false">(F5+F6)*F10</f>
        <v>153</v>
      </c>
      <c r="G12" s="24" t="n">
        <f aca="false">(G5+G6)*G10</f>
        <v>340</v>
      </c>
      <c r="H12" s="24" t="n">
        <f aca="false">SUM(C12:G12)</f>
        <v>538.5</v>
      </c>
    </row>
    <row r="13" customFormat="false" ht="15" hidden="false" customHeight="false" outlineLevel="0" collapsed="false">
      <c r="A13" s="12" t="s">
        <v>378</v>
      </c>
      <c r="B13" s="10" t="s">
        <v>41</v>
      </c>
      <c r="C13" s="24" t="n">
        <f aca="false">C8*Inputs!$E$82</f>
        <v>0</v>
      </c>
      <c r="D13" s="24" t="n">
        <f aca="false">D8*Inputs!$E$82</f>
        <v>0</v>
      </c>
      <c r="E13" s="24" t="n">
        <f aca="false">E8*Inputs!$E$82</f>
        <v>0</v>
      </c>
      <c r="F13" s="24" t="n">
        <f aca="false">F8*Inputs!$E$82</f>
        <v>0</v>
      </c>
      <c r="G13" s="24" t="n">
        <f aca="false">G8*Inputs!$E$82</f>
        <v>20</v>
      </c>
      <c r="H13" s="24" t="n">
        <f aca="false">SUM(C13:G13)</f>
        <v>20</v>
      </c>
    </row>
    <row r="14" customFormat="false" ht="15" hidden="false" customHeight="false" outlineLevel="0" collapsed="false">
      <c r="A14" s="18" t="s">
        <v>379</v>
      </c>
      <c r="B14" s="10" t="s">
        <v>41</v>
      </c>
      <c r="C14" s="24" t="n">
        <f aca="false">C12+C13+C11+C7</f>
        <v>0</v>
      </c>
      <c r="D14" s="24" t="n">
        <f aca="false">D12+D13+D11+D7</f>
        <v>3</v>
      </c>
      <c r="E14" s="24" t="n">
        <f aca="false">E12+E13+E11+E7</f>
        <v>42.5</v>
      </c>
      <c r="F14" s="24" t="n">
        <f aca="false">F12+F13+F11+F7</f>
        <v>173.75</v>
      </c>
      <c r="G14" s="24" t="n">
        <f aca="false">G12+G13+G11+G7</f>
        <v>443.375</v>
      </c>
      <c r="H14" s="24" t="n">
        <f aca="false">SUM(C14:G14)</f>
        <v>662.625</v>
      </c>
    </row>
    <row r="15" customFormat="false" ht="15" hidden="false" customHeight="false" outlineLevel="0" collapsed="false">
      <c r="A15" s="12" t="s">
        <v>380</v>
      </c>
      <c r="B15" s="12" t="s">
        <v>33</v>
      </c>
      <c r="C15" s="13" t="n">
        <f aca="false">Inputs_Yearly!$E$49</f>
        <v>0</v>
      </c>
      <c r="D15" s="13" t="n">
        <f aca="false">Inputs_Yearly!$F$49</f>
        <v>0.3</v>
      </c>
      <c r="E15" s="13" t="n">
        <f aca="false">Inputs_Yearly!$G$49</f>
        <v>0.3</v>
      </c>
      <c r="F15" s="13" t="n">
        <f aca="false">Inputs_Yearly!$H$49</f>
        <v>0.4</v>
      </c>
      <c r="G15" s="13" t="n">
        <f aca="false">Inputs_Yearly!$I$49</f>
        <v>0.4</v>
      </c>
    </row>
    <row r="16" customFormat="false" ht="15" hidden="false" customHeight="false" outlineLevel="0" collapsed="false">
      <c r="A16" s="12" t="s">
        <v>381</v>
      </c>
      <c r="B16" s="12" t="s">
        <v>327</v>
      </c>
      <c r="C16" s="14" t="n">
        <f aca="false">Inputs_Yearly!$E$53</f>
        <v>0</v>
      </c>
      <c r="D16" s="14" t="n">
        <f aca="false">Inputs_Yearly!$F$53</f>
        <v>0</v>
      </c>
      <c r="E16" s="14" t="n">
        <f aca="false">Inputs_Yearly!$G$53</f>
        <v>0</v>
      </c>
      <c r="F16" s="14" t="n">
        <f aca="false">Inputs_Yearly!$H$53</f>
        <v>1</v>
      </c>
      <c r="G16" s="14" t="n">
        <f aca="false">Inputs_Yearly!$I$53</f>
        <v>1</v>
      </c>
    </row>
    <row r="17" customFormat="false" ht="15" hidden="false" customHeight="false" outlineLevel="0" collapsed="false">
      <c r="A17" s="12" t="s">
        <v>382</v>
      </c>
      <c r="B17" s="10" t="s">
        <v>41</v>
      </c>
      <c r="C17" s="24" t="n">
        <f aca="false">C14*C15</f>
        <v>0</v>
      </c>
      <c r="D17" s="24" t="n">
        <f aca="false">D14*D15</f>
        <v>0.9</v>
      </c>
      <c r="E17" s="24" t="n">
        <f aca="false">E14*E15</f>
        <v>12.75</v>
      </c>
      <c r="F17" s="24" t="n">
        <f aca="false">F14*F15</f>
        <v>69.5</v>
      </c>
      <c r="G17" s="24" t="n">
        <f aca="false">G14*G15</f>
        <v>177.35</v>
      </c>
      <c r="H17" s="24" t="n">
        <f aca="false">SUM(C17:G17)</f>
        <v>260.5</v>
      </c>
    </row>
    <row r="18" customFormat="false" ht="15" hidden="false" customHeight="false" outlineLevel="0" collapsed="false">
      <c r="A18" s="10" t="s">
        <v>383</v>
      </c>
      <c r="B18" s="10" t="s">
        <v>41</v>
      </c>
      <c r="C18" s="24" t="n">
        <f aca="false">C14-C17</f>
        <v>0</v>
      </c>
      <c r="D18" s="24" t="n">
        <f aca="false">D14-D17</f>
        <v>2.1</v>
      </c>
      <c r="E18" s="24" t="n">
        <f aca="false">E14-E17</f>
        <v>29.75</v>
      </c>
      <c r="F18" s="24" t="n">
        <f aca="false">F14-F17</f>
        <v>104.25</v>
      </c>
      <c r="G18" s="24" t="n">
        <f aca="false">G14-G17</f>
        <v>266.025</v>
      </c>
      <c r="H18" s="24" t="n">
        <f aca="false">SUM(C18:G18)</f>
        <v>402.125</v>
      </c>
    </row>
    <row r="19" customFormat="false" ht="15" hidden="false" customHeight="false" outlineLevel="0" collapsed="false">
      <c r="A19" s="12" t="s">
        <v>384</v>
      </c>
      <c r="B19" s="10" t="s">
        <v>41</v>
      </c>
      <c r="C19" s="24" t="n">
        <f aca="false">C17*(1-C16)</f>
        <v>0</v>
      </c>
      <c r="D19" s="24" t="n">
        <f aca="false">D17*(1-D16)</f>
        <v>0.9</v>
      </c>
      <c r="E19" s="24" t="n">
        <f aca="false">E17*(1-E16)</f>
        <v>12.75</v>
      </c>
      <c r="F19" s="24" t="n">
        <f aca="false">F17*(1-F16)</f>
        <v>0</v>
      </c>
      <c r="G19" s="24" t="n">
        <f aca="false">G17*(1-G16)</f>
        <v>0</v>
      </c>
      <c r="H19" s="24" t="n">
        <f aca="false">SUM(C19:G19)</f>
        <v>13.65</v>
      </c>
    </row>
    <row r="20" customFormat="false" ht="15" hidden="false" customHeight="false" outlineLevel="0" collapsed="false">
      <c r="A20" s="12" t="s">
        <v>385</v>
      </c>
      <c r="B20" s="10" t="s">
        <v>41</v>
      </c>
      <c r="C20" s="24" t="n">
        <f aca="false">C17*C16</f>
        <v>0</v>
      </c>
      <c r="D20" s="24" t="n">
        <f aca="false">D17*D16</f>
        <v>0</v>
      </c>
      <c r="E20" s="24" t="n">
        <f aca="false">E17*E16</f>
        <v>0</v>
      </c>
      <c r="F20" s="24" t="n">
        <f aca="false">F17*F16</f>
        <v>69.5</v>
      </c>
      <c r="G20" s="24" t="n">
        <f aca="false">G17*G16</f>
        <v>177.35</v>
      </c>
      <c r="H20" s="24" t="n">
        <f aca="false">SUM(C20:G20)</f>
        <v>246.85</v>
      </c>
    </row>
    <row r="21" customFormat="false" ht="15" hidden="false" customHeight="false" outlineLevel="0" collapsed="false">
      <c r="A21" s="12" t="s">
        <v>386</v>
      </c>
      <c r="B21" s="10" t="s">
        <v>39</v>
      </c>
      <c r="C21" s="24" t="n">
        <f aca="false">0+(C5+C6)*(1-C10)+C8*(1-Inputs!$E$82)-C11</f>
        <v>0</v>
      </c>
      <c r="D21" s="24" t="n">
        <f aca="false">C21+(D5+D6)*(1-D10)+D8*(1-Inputs!$E$82)-D11</f>
        <v>0</v>
      </c>
      <c r="E21" s="24" t="n">
        <f aca="false">D21+(E5+E6)*(1-E10)+E8*(1-Inputs!$E$82)-E11</f>
        <v>7.5</v>
      </c>
      <c r="F21" s="24" t="n">
        <f aca="false">E21+(F5+F6)*(1-F10)+F8*(1-Inputs!$E$82)-F11</f>
        <v>33.75</v>
      </c>
      <c r="G21" s="24" t="n">
        <f aca="false">F21+(G5+G6)*(1-G10)+G8*(1-Inputs!$E$82)-G11</f>
        <v>150.375</v>
      </c>
    </row>
    <row r="22" customFormat="false" ht="15" hidden="false" customHeight="false" outlineLevel="0" collapsed="false">
      <c r="A22" s="10" t="s">
        <v>387</v>
      </c>
      <c r="B22" s="10" t="s">
        <v>41</v>
      </c>
      <c r="C22" s="24" t="n">
        <f aca="false">0+C18</f>
        <v>0</v>
      </c>
      <c r="D22" s="24" t="n">
        <f aca="false">C22+D18</f>
        <v>2.1</v>
      </c>
      <c r="E22" s="24" t="n">
        <f aca="false">D22+E18</f>
        <v>31.85</v>
      </c>
      <c r="F22" s="24" t="n">
        <f aca="false">E22+F18</f>
        <v>136.1</v>
      </c>
      <c r="G22" s="24" t="n">
        <f aca="false">F22+G18</f>
        <v>402.125</v>
      </c>
    </row>
    <row r="23" customFormat="false" ht="15" hidden="false" customHeight="false" outlineLevel="0" collapsed="false">
      <c r="A23" s="10" t="s">
        <v>388</v>
      </c>
      <c r="B23" s="10" t="s">
        <v>41</v>
      </c>
      <c r="C23" s="24" t="n">
        <f aca="false">0+C18/2</f>
        <v>0</v>
      </c>
      <c r="D23" s="24" t="n">
        <f aca="false">C22+D18/2</f>
        <v>1.05</v>
      </c>
      <c r="E23" s="24" t="n">
        <f aca="false">D22+E18/2</f>
        <v>16.975</v>
      </c>
      <c r="F23" s="24" t="n">
        <f aca="false">E22+F18/2</f>
        <v>83.975</v>
      </c>
      <c r="G23" s="24" t="n">
        <f aca="false">F22+G18/2</f>
        <v>269.1125</v>
      </c>
    </row>
    <row r="24" customFormat="false" ht="15" hidden="false" customHeight="false" outlineLevel="0" collapsed="false">
      <c r="A24" s="12" t="s">
        <v>389</v>
      </c>
      <c r="B24" s="10" t="s">
        <v>41</v>
      </c>
      <c r="C24" s="24" t="n">
        <f aca="false">0+C19</f>
        <v>0</v>
      </c>
      <c r="D24" s="24" t="n">
        <f aca="false">C24+D19</f>
        <v>0.9</v>
      </c>
      <c r="E24" s="24" t="n">
        <f aca="false">D24+E19</f>
        <v>13.65</v>
      </c>
      <c r="F24" s="24" t="n">
        <f aca="false">E24+F19</f>
        <v>13.65</v>
      </c>
      <c r="G24" s="24" t="n">
        <f aca="false">F24+G19</f>
        <v>13.65</v>
      </c>
    </row>
    <row r="25" customFormat="false" ht="15" hidden="false" customHeight="false" outlineLevel="0" collapsed="false">
      <c r="A25" s="12" t="s">
        <v>390</v>
      </c>
      <c r="B25" s="10" t="s">
        <v>41</v>
      </c>
      <c r="C25" s="24" t="n">
        <f aca="false">0+C19/2</f>
        <v>0</v>
      </c>
      <c r="D25" s="24" t="n">
        <f aca="false">C24+D19/2</f>
        <v>0.45</v>
      </c>
      <c r="E25" s="24" t="n">
        <f aca="false">D24+E19/2</f>
        <v>7.275</v>
      </c>
      <c r="F25" s="24" t="n">
        <f aca="false">E24+F19/2</f>
        <v>13.65</v>
      </c>
      <c r="G25" s="24" t="n">
        <f aca="false">F24+G19/2</f>
        <v>13.65</v>
      </c>
    </row>
    <row r="26" customFormat="false" ht="15" hidden="false" customHeight="false" outlineLevel="0" collapsed="false">
      <c r="A26" s="12" t="s">
        <v>391</v>
      </c>
      <c r="B26" s="10" t="s">
        <v>41</v>
      </c>
      <c r="C26" s="24" t="n">
        <f aca="false">0+C20</f>
        <v>0</v>
      </c>
      <c r="D26" s="24" t="n">
        <f aca="false">C26+D20</f>
        <v>0</v>
      </c>
      <c r="E26" s="24" t="n">
        <f aca="false">D26+E20</f>
        <v>0</v>
      </c>
      <c r="F26" s="24" t="n">
        <f aca="false">E26+F20</f>
        <v>69.5</v>
      </c>
      <c r="G26" s="24" t="n">
        <f aca="false">F26+G20</f>
        <v>246.85</v>
      </c>
    </row>
    <row r="27" customFormat="false" ht="15" hidden="false" customHeight="false" outlineLevel="0" collapsed="false">
      <c r="A27" s="12" t="s">
        <v>392</v>
      </c>
      <c r="B27" s="10" t="s">
        <v>41</v>
      </c>
      <c r="C27" s="24" t="n">
        <f aca="false">0+C20/2</f>
        <v>0</v>
      </c>
      <c r="D27" s="24" t="n">
        <f aca="false">C26+D20/2</f>
        <v>0</v>
      </c>
      <c r="E27" s="24" t="n">
        <f aca="false">D26+E20/2</f>
        <v>0</v>
      </c>
      <c r="F27" s="24" t="n">
        <f aca="false">E26+F20/2</f>
        <v>34.75</v>
      </c>
      <c r="G27" s="24" t="n">
        <f aca="false">F26+G20/2</f>
        <v>158.175</v>
      </c>
    </row>
    <row r="28" customFormat="false" ht="15" hidden="false" customHeight="false" outlineLevel="0" collapsed="false">
      <c r="A28" s="12" t="s">
        <v>42</v>
      </c>
      <c r="B28" s="10" t="s">
        <v>41</v>
      </c>
      <c r="C28" s="24" t="n">
        <f aca="false">C22+C24+C26</f>
        <v>0</v>
      </c>
      <c r="D28" s="24" t="n">
        <f aca="false">D22+D24+D26</f>
        <v>3</v>
      </c>
      <c r="E28" s="24" t="n">
        <f aca="false">E22+E24+E26</f>
        <v>45.5</v>
      </c>
      <c r="F28" s="24" t="n">
        <f aca="false">F22+F24+F26</f>
        <v>219.25</v>
      </c>
      <c r="G28" s="24" t="n">
        <f aca="false">G22+G24+G26</f>
        <v>662.625</v>
      </c>
    </row>
    <row r="29" customFormat="false" ht="15" hidden="false" customHeight="false" outlineLevel="0" collapsed="false">
      <c r="A29" s="10" t="s">
        <v>393</v>
      </c>
      <c r="B29" s="10" t="s">
        <v>39</v>
      </c>
      <c r="C29" s="14" t="n">
        <f aca="false">Inputs_Yearly!$E$57*Inputs!$E$80*Inputs!$E$81</f>
        <v>0</v>
      </c>
      <c r="D29" s="24" t="n">
        <f aca="false">(Inputs_Yearly!$F$57+Inputs_Yearly!$E$57)*Inputs!$E$80*Inputs!$E$81</f>
        <v>0</v>
      </c>
      <c r="E29" s="24" t="n">
        <f aca="false">(Inputs_Yearly!$G$57+Inputs_Yearly!$F$57)*Inputs!$E$80*Inputs!$E$81</f>
        <v>80</v>
      </c>
      <c r="F29" s="24" t="n">
        <f aca="false">(Inputs_Yearly!$H$57+Inputs_Yearly!$G$57)*Inputs!$E$80*Inputs!$E$81</f>
        <v>240</v>
      </c>
      <c r="G29" s="24" t="n">
        <f aca="false">(Inputs_Yearly!$I$57+Inputs_Yearly!$H$57)*Inputs!$E$80*Inputs!$E$81</f>
        <v>400</v>
      </c>
    </row>
    <row r="30" customFormat="false" ht="15" hidden="false" customHeight="false" outlineLevel="0" collapsed="false">
      <c r="A30" s="15" t="s">
        <v>394</v>
      </c>
      <c r="B30" s="16"/>
      <c r="C30" s="16"/>
      <c r="D30" s="16"/>
      <c r="E30" s="16"/>
      <c r="F30" s="16"/>
      <c r="G30" s="16"/>
      <c r="H30" s="16"/>
    </row>
    <row r="31" customFormat="false" ht="15" hidden="false" customHeight="false" outlineLevel="0" collapsed="false">
      <c r="A31" s="10" t="s">
        <v>395</v>
      </c>
      <c r="B31" s="12" t="s">
        <v>33</v>
      </c>
      <c r="C31" s="13" t="n">
        <f aca="false">Inputs_Yearly!$E$5</f>
        <v>1</v>
      </c>
      <c r="D31" s="13" t="n">
        <f aca="false">Inputs_Yearly!$F$5</f>
        <v>0.5</v>
      </c>
      <c r="E31" s="13" t="n">
        <f aca="false">Inputs_Yearly!$G$5</f>
        <v>1</v>
      </c>
      <c r="F31" s="13" t="n">
        <f aca="false">Inputs_Yearly!$H$5</f>
        <v>1</v>
      </c>
      <c r="G31" s="13" t="n">
        <f aca="false">Inputs_Yearly!$I$5</f>
        <v>1</v>
      </c>
    </row>
    <row r="32" customFormat="false" ht="15" hidden="false" customHeight="false" outlineLevel="0" collapsed="false">
      <c r="A32" s="12" t="s">
        <v>396</v>
      </c>
      <c r="B32" s="10" t="s">
        <v>152</v>
      </c>
      <c r="C32" s="14" t="n">
        <f aca="false">Inputs!$E$44*Inputs!$E$45+Inputs!$E$46*Inputs!$E$47+Inputs!$E$48*Inputs!$E$49</f>
        <v>36</v>
      </c>
      <c r="D32" s="14" t="n">
        <f aca="false">Inputs!$E$44*Inputs!$E$45+Inputs!$E$46*Inputs!$E$47+Inputs!$E$48*Inputs!$E$49</f>
        <v>36</v>
      </c>
      <c r="E32" s="14" t="n">
        <f aca="false">Inputs!$E$44*Inputs!$E$45+Inputs!$E$46*Inputs!$E$47+Inputs!$E$48*Inputs!$E$49</f>
        <v>36</v>
      </c>
      <c r="F32" s="14" t="n">
        <f aca="false">Inputs!$E$44*Inputs!$E$45+Inputs!$E$46*Inputs!$E$47+Inputs!$E$48*Inputs!$E$49</f>
        <v>36</v>
      </c>
      <c r="G32" s="14" t="n">
        <f aca="false">Inputs!$E$44*Inputs!$E$45+Inputs!$E$46*Inputs!$E$47+Inputs!$E$48*Inputs!$E$49</f>
        <v>36</v>
      </c>
    </row>
    <row r="33" customFormat="false" ht="15" hidden="false" customHeight="false" outlineLevel="0" collapsed="false">
      <c r="A33" s="12" t="s">
        <v>397</v>
      </c>
      <c r="B33" s="10" t="s">
        <v>152</v>
      </c>
      <c r="C33" s="14" t="n">
        <f aca="false">Inputs!$E$46*Inputs!$E$47+Inputs!$E$48*Inputs!$E$49</f>
        <v>18</v>
      </c>
      <c r="D33" s="14" t="n">
        <f aca="false">Inputs!$E$46*Inputs!$E$47+Inputs!$E$48*Inputs!$E$49</f>
        <v>18</v>
      </c>
      <c r="E33" s="14" t="n">
        <f aca="false">Inputs!$E$46*Inputs!$E$47+Inputs!$E$48*Inputs!$E$49</f>
        <v>18</v>
      </c>
      <c r="F33" s="14" t="n">
        <f aca="false">Inputs!$E$46*Inputs!$E$47+Inputs!$E$48*Inputs!$E$49</f>
        <v>18</v>
      </c>
      <c r="G33" s="14" t="n">
        <f aca="false">Inputs!$E$46*Inputs!$E$47+Inputs!$E$48*Inputs!$E$49</f>
        <v>18</v>
      </c>
    </row>
    <row r="34" customFormat="false" ht="15" hidden="false" customHeight="false" outlineLevel="0" collapsed="false">
      <c r="A34" s="12" t="s">
        <v>398</v>
      </c>
      <c r="B34" s="10" t="s">
        <v>152</v>
      </c>
      <c r="C34" s="14" t="n">
        <f aca="false">Inputs!$E$44*Inputs!$E$45</f>
        <v>18</v>
      </c>
      <c r="D34" s="14" t="n">
        <f aca="false">Inputs!$E$44*Inputs!$E$45</f>
        <v>18</v>
      </c>
      <c r="E34" s="14" t="n">
        <f aca="false">Inputs!$E$44*Inputs!$E$45</f>
        <v>18</v>
      </c>
      <c r="F34" s="14" t="n">
        <f aca="false">Inputs!$E$44*Inputs!$E$45</f>
        <v>18</v>
      </c>
      <c r="G34" s="14" t="n">
        <f aca="false">Inputs!$E$44*Inputs!$E$45</f>
        <v>18</v>
      </c>
    </row>
    <row r="35" customFormat="false" ht="15" hidden="false" customHeight="false" outlineLevel="0" collapsed="false">
      <c r="A35" s="12" t="s">
        <v>399</v>
      </c>
      <c r="B35" s="10" t="s">
        <v>194</v>
      </c>
      <c r="C35" s="24" t="n">
        <f aca="false">(C5+C6)*Inputs!$E$34*C31+C8*Inputs!$E$35+C7*Inputs!$E$36*C31</f>
        <v>0</v>
      </c>
      <c r="D35" s="24" t="n">
        <f aca="false">(D5+D6)*Inputs!$E$34*D31+D8*Inputs!$E$35+D7*Inputs!$E$36*D31</f>
        <v>675</v>
      </c>
      <c r="E35" s="24" t="n">
        <f aca="false">(E5+E6)*Inputs!$E$34*E31+E8*Inputs!$E$35+E7*Inputs!$E$36*E31</f>
        <v>22500</v>
      </c>
      <c r="F35" s="24" t="n">
        <f aca="false">(F5+F6)*Inputs!$E$34*F31+F8*Inputs!$E$35+F7*Inputs!$E$36*F31</f>
        <v>84000</v>
      </c>
      <c r="G35" s="24" t="n">
        <f aca="false">(G5+G6)*Inputs!$E$34*G31+G8*Inputs!$E$35+G7*Inputs!$E$36*G31</f>
        <v>209600</v>
      </c>
      <c r="H35" s="24" t="n">
        <f aca="false">SUM(C35:G35)</f>
        <v>316775</v>
      </c>
    </row>
    <row r="36" customFormat="false" ht="15" hidden="false" customHeight="false" outlineLevel="0" collapsed="false">
      <c r="A36" s="12" t="s">
        <v>400</v>
      </c>
      <c r="B36" s="10" t="s">
        <v>194</v>
      </c>
      <c r="C36" s="24" t="n">
        <f aca="false">(C14-C7)*Inputs!$E$38*C31+C7*Inputs!$E$39*C31</f>
        <v>0</v>
      </c>
      <c r="D36" s="24" t="n">
        <f aca="false">(D14-D7)*Inputs!$E$38*D31+D7*Inputs!$E$39*D31</f>
        <v>120</v>
      </c>
      <c r="E36" s="24" t="n">
        <f aca="false">(E14-E7)*Inputs!$E$38*E31+E7*Inputs!$E$39*E31</f>
        <v>3400</v>
      </c>
      <c r="F36" s="24" t="n">
        <f aca="false">(F14-F7)*Inputs!$E$38*F31+F7*Inputs!$E$39*F31</f>
        <v>14700</v>
      </c>
      <c r="G36" s="24" t="n">
        <f aca="false">(G14-G7)*Inputs!$E$38*G31+G7*Inputs!$E$39*G31</f>
        <v>38670</v>
      </c>
      <c r="H36" s="24" t="n">
        <f aca="false">SUM(C36:G36)</f>
        <v>56890</v>
      </c>
    </row>
    <row r="37" customFormat="false" ht="15" hidden="false" customHeight="false" outlineLevel="0" collapsed="false">
      <c r="A37" s="12" t="s">
        <v>401</v>
      </c>
      <c r="B37" s="10" t="s">
        <v>194</v>
      </c>
      <c r="C37" s="24" t="n">
        <f aca="false">C18*Inputs!$E$37*C31+C20*Inputs!$E$37*Inputs!$E$56</f>
        <v>0</v>
      </c>
      <c r="D37" s="24" t="n">
        <f aca="false">D18*Inputs!$E$37*D31+D20*Inputs!$E$37*Inputs!$E$56</f>
        <v>1564.5</v>
      </c>
      <c r="E37" s="24" t="n">
        <f aca="false">E18*Inputs!$E$37*E31+E20*Inputs!$E$37*Inputs!$E$56</f>
        <v>44327.5</v>
      </c>
      <c r="F37" s="24" t="n">
        <f aca="false">F18*Inputs!$E$37*F31+F20*Inputs!$E$37*Inputs!$E$56</f>
        <v>246460.9</v>
      </c>
      <c r="G37" s="24" t="n">
        <f aca="false">G18*Inputs!$E$37*G31+G20*Inputs!$E$37*Inputs!$E$56</f>
        <v>628918.57</v>
      </c>
      <c r="H37" s="24" t="n">
        <f aca="false">SUM(C37:G37)</f>
        <v>921271.47</v>
      </c>
    </row>
    <row r="38" customFormat="false" ht="15" hidden="false" customHeight="false" outlineLevel="0" collapsed="false">
      <c r="A38" s="12" t="s">
        <v>402</v>
      </c>
      <c r="B38" s="10" t="s">
        <v>194</v>
      </c>
      <c r="C38" s="24" t="n">
        <f aca="false">C25*Inputs!$E$40*12</f>
        <v>0</v>
      </c>
      <c r="D38" s="24" t="n">
        <f aca="false">D25*Inputs!$E$40*12</f>
        <v>178.2</v>
      </c>
      <c r="E38" s="24" t="n">
        <f aca="false">E25*Inputs!$E$40*12</f>
        <v>2880.9</v>
      </c>
      <c r="F38" s="24" t="n">
        <f aca="false">F25*Inputs!$E$40*12</f>
        <v>5405.4</v>
      </c>
      <c r="G38" s="24" t="n">
        <f aca="false">G25*Inputs!$E$40*12</f>
        <v>5405.4</v>
      </c>
      <c r="H38" s="24" t="n">
        <f aca="false">SUM(C38:G38)</f>
        <v>13869.9</v>
      </c>
    </row>
    <row r="39" customFormat="false" ht="15" hidden="false" customHeight="false" outlineLevel="0" collapsed="false">
      <c r="A39" s="12" t="s">
        <v>403</v>
      </c>
      <c r="B39" s="10" t="s">
        <v>194</v>
      </c>
      <c r="C39" s="24" t="n">
        <f aca="false">C23*Inputs!$E$51*Inputs!$E$42+C27*Inputs!$E$57*12</f>
        <v>0</v>
      </c>
      <c r="D39" s="24" t="n">
        <f aca="false">D23*Inputs!$E$51*Inputs!$E$42+D27*Inputs!$E$57*12</f>
        <v>35.28</v>
      </c>
      <c r="E39" s="24" t="n">
        <f aca="false">E23*Inputs!$E$51*Inputs!$E$42+E27*Inputs!$E$57*12</f>
        <v>570.36</v>
      </c>
      <c r="F39" s="24" t="n">
        <f aca="false">F23*Inputs!$E$51*Inputs!$E$42+F27*Inputs!$E$57*12</f>
        <v>5323.56</v>
      </c>
      <c r="G39" s="24" t="n">
        <f aca="false">G23*Inputs!$E$51*Inputs!$E$42+G27*Inputs!$E$57*12</f>
        <v>20430.78</v>
      </c>
      <c r="H39" s="24" t="n">
        <f aca="false">SUM(C39:G39)</f>
        <v>26359.98</v>
      </c>
    </row>
    <row r="40" customFormat="false" ht="15" hidden="false" customHeight="false" outlineLevel="0" collapsed="false">
      <c r="A40" s="12" t="s">
        <v>404</v>
      </c>
      <c r="B40" s="10" t="s">
        <v>194</v>
      </c>
      <c r="C40" s="24" t="n">
        <f aca="false">C23*Inputs!$E$50*C32+(C25+C27)*Inputs!$E$50*C33</f>
        <v>0</v>
      </c>
      <c r="D40" s="24" t="n">
        <f aca="false">D23*Inputs!$E$50*D32+(D25+D27)*Inputs!$E$50*D33</f>
        <v>32.13</v>
      </c>
      <c r="E40" s="24" t="n">
        <f aca="false">E23*Inputs!$E$50*E32+(E25+E27)*Inputs!$E$50*E33</f>
        <v>519.435</v>
      </c>
      <c r="F40" s="24" t="n">
        <f aca="false">F23*Inputs!$E$50*F32+(F25+F27)*Inputs!$E$50*F33</f>
        <v>2726.01</v>
      </c>
      <c r="G40" s="24" t="n">
        <f aca="false">G23*Inputs!$E$50*G32+(G25+G27)*Inputs!$E$50*G33</f>
        <v>8946.63</v>
      </c>
      <c r="H40" s="24" t="n">
        <f aca="false">SUM(C40:G40)</f>
        <v>12224.205</v>
      </c>
    </row>
    <row r="41" customFormat="false" ht="15" hidden="false" customHeight="false" outlineLevel="0" collapsed="false">
      <c r="A41" s="12" t="s">
        <v>405</v>
      </c>
      <c r="B41" s="10" t="s">
        <v>194</v>
      </c>
      <c r="C41" s="24" t="n">
        <f aca="false">0*Inputs!$E$53*Inputs!$E$52+0*Inputs!$E$55*Inputs!$E$54</f>
        <v>0</v>
      </c>
      <c r="D41" s="24" t="n">
        <f aca="false">C14*Inputs!$E$53*Inputs!$E$52+0*Inputs!$E$55*Inputs!$E$54</f>
        <v>0</v>
      </c>
      <c r="E41" s="24" t="n">
        <f aca="false">D14*Inputs!$E$53*Inputs!$E$52+C14*Inputs!$E$55*Inputs!$E$54</f>
        <v>36</v>
      </c>
      <c r="F41" s="24" t="n">
        <f aca="false">E14*Inputs!$E$53*Inputs!$E$52+D14*Inputs!$E$55*Inputs!$E$54</f>
        <v>570</v>
      </c>
      <c r="G41" s="24" t="n">
        <f aca="false">F14*Inputs!$E$53*Inputs!$E$52+E14*Inputs!$E$55*Inputs!$E$54</f>
        <v>2935</v>
      </c>
      <c r="H41" s="24" t="n">
        <f aca="false">SUM(C41:G41)</f>
        <v>3541</v>
      </c>
    </row>
    <row r="42" customFormat="false" ht="15" hidden="false" customHeight="false" outlineLevel="0" collapsed="false">
      <c r="A42" s="25" t="s">
        <v>406</v>
      </c>
      <c r="B42" s="10" t="s">
        <v>194</v>
      </c>
      <c r="C42" s="24" t="n">
        <f aca="false">SUM(C35:C41)</f>
        <v>0</v>
      </c>
      <c r="D42" s="24" t="n">
        <f aca="false">SUM(D35:D41)</f>
        <v>2605.11</v>
      </c>
      <c r="E42" s="24" t="n">
        <f aca="false">SUM(E35:E41)</f>
        <v>74234.195</v>
      </c>
      <c r="F42" s="24" t="n">
        <f aca="false">SUM(F35:F41)</f>
        <v>359185.87</v>
      </c>
      <c r="G42" s="24" t="n">
        <f aca="false">SUM(G35:G41)</f>
        <v>914906.38</v>
      </c>
      <c r="H42" s="24" t="n">
        <f aca="false">SUM(C42:G42)</f>
        <v>1350931.555</v>
      </c>
    </row>
    <row r="43" customFormat="false" ht="15" hidden="false" customHeight="false" outlineLevel="0" collapsed="false">
      <c r="A43" s="15" t="s">
        <v>407</v>
      </c>
      <c r="B43" s="16"/>
      <c r="C43" s="16"/>
      <c r="D43" s="16"/>
      <c r="E43" s="16"/>
      <c r="F43" s="16"/>
      <c r="G43" s="16"/>
      <c r="H43" s="16"/>
    </row>
    <row r="44" customFormat="false" ht="15" hidden="false" customHeight="false" outlineLevel="0" collapsed="false">
      <c r="A44" s="12" t="s">
        <v>293</v>
      </c>
      <c r="B44" s="12" t="s">
        <v>33</v>
      </c>
      <c r="C44" s="13" t="n">
        <f aca="false">Inputs_Yearly!$E$9</f>
        <v>0.4</v>
      </c>
      <c r="D44" s="13" t="n">
        <f aca="false">Inputs_Yearly!$F$9</f>
        <v>0.5</v>
      </c>
      <c r="E44" s="13" t="n">
        <f aca="false">Inputs_Yearly!$G$9</f>
        <v>0.65</v>
      </c>
      <c r="F44" s="13" t="n">
        <f aca="false">Inputs_Yearly!$H$9</f>
        <v>0.75</v>
      </c>
      <c r="G44" s="13" t="n">
        <f aca="false">Inputs_Yearly!$I$9</f>
        <v>0.8</v>
      </c>
    </row>
    <row r="45" customFormat="false" ht="15" hidden="false" customHeight="false" outlineLevel="0" collapsed="false">
      <c r="A45" s="12" t="s">
        <v>408</v>
      </c>
      <c r="B45" s="10" t="s">
        <v>194</v>
      </c>
      <c r="C45" s="14" t="n">
        <f aca="false">Inputs!$E$59*(C44+Inputs!$E$60*(1-C44))+Inputs!$E$61*(1-C44)</f>
        <v>332</v>
      </c>
      <c r="D45" s="14" t="n">
        <f aca="false">Inputs!$E$59*(D44+Inputs!$E$60*(1-D44))+Inputs!$E$61*(1-D44)</f>
        <v>310</v>
      </c>
      <c r="E45" s="14" t="n">
        <f aca="false">Inputs!$E$59*(E44+Inputs!$E$60*(1-E44))+Inputs!$E$61*(1-E44)</f>
        <v>277</v>
      </c>
      <c r="F45" s="14" t="n">
        <f aca="false">Inputs!$E$59*(F44+Inputs!$E$60*(1-F44))+Inputs!$E$61*(1-F44)</f>
        <v>255</v>
      </c>
      <c r="G45" s="14" t="n">
        <f aca="false">Inputs!$E$59*(G44+Inputs!$E$60*(1-G44))+Inputs!$E$61*(1-G44)</f>
        <v>244</v>
      </c>
    </row>
    <row r="46" customFormat="false" ht="15" hidden="false" customHeight="false" outlineLevel="0" collapsed="false">
      <c r="A46" s="12" t="s">
        <v>409</v>
      </c>
      <c r="B46" s="10" t="s">
        <v>194</v>
      </c>
      <c r="C46" s="14" t="n">
        <f aca="false">Inputs_Yearly!$E$13</f>
        <v>1680</v>
      </c>
      <c r="D46" s="14" t="n">
        <f aca="false">Inputs_Yearly!$F$13</f>
        <v>1520</v>
      </c>
      <c r="E46" s="14" t="n">
        <f aca="false">Inputs_Yearly!$G$13</f>
        <v>1180</v>
      </c>
      <c r="F46" s="14" t="n">
        <f aca="false">Inputs_Yearly!$H$13</f>
        <v>1030</v>
      </c>
      <c r="G46" s="14" t="n">
        <f aca="false">Inputs_Yearly!$I$13</f>
        <v>915</v>
      </c>
    </row>
    <row r="47" customFormat="false" ht="15" hidden="false" customHeight="false" outlineLevel="0" collapsed="false">
      <c r="A47" s="12" t="s">
        <v>410</v>
      </c>
      <c r="B47" s="10" t="s">
        <v>194</v>
      </c>
      <c r="C47" s="14" t="n">
        <f aca="false">Inputs_Yearly!$E$25*Inputs_Yearly!$E$29+Inputs!$E$66*Inputs!$E$67+Inputs!$E$68</f>
        <v>44.8</v>
      </c>
      <c r="D47" s="14" t="n">
        <f aca="false">Inputs_Yearly!$F$25*Inputs_Yearly!$F$29+Inputs!$E$66*Inputs!$E$67+Inputs!$E$68</f>
        <v>40.8</v>
      </c>
      <c r="E47" s="14" t="n">
        <f aca="false">Inputs_Yearly!$G$25*Inputs_Yearly!$G$29+Inputs!$E$66*Inputs!$E$67+Inputs!$E$68</f>
        <v>36.8</v>
      </c>
      <c r="F47" s="14" t="n">
        <f aca="false">Inputs_Yearly!$H$25*Inputs_Yearly!$H$29+Inputs!$E$66*Inputs!$E$67+Inputs!$E$68</f>
        <v>28.3</v>
      </c>
      <c r="G47" s="14" t="n">
        <f aca="false">Inputs_Yearly!$I$25*Inputs_Yearly!$I$29+Inputs!$E$66*Inputs!$E$67+Inputs!$E$68</f>
        <v>26.8</v>
      </c>
    </row>
    <row r="48" customFormat="false" ht="15" hidden="false" customHeight="false" outlineLevel="0" collapsed="false">
      <c r="A48" s="12" t="s">
        <v>411</v>
      </c>
      <c r="B48" s="10" t="s">
        <v>194</v>
      </c>
      <c r="C48" s="24" t="n">
        <f aca="false">(C5+C6)*C45+C8*Inputs!$E$62+C7*Inputs!$E$63</f>
        <v>0</v>
      </c>
      <c r="D48" s="24" t="n">
        <f aca="false">(D5+D6)*D45+D8*Inputs!$E$62+D7*Inputs!$E$63</f>
        <v>930</v>
      </c>
      <c r="E48" s="24" t="n">
        <f aca="false">(E5+E6)*E45+E8*Inputs!$E$62+E7*Inputs!$E$63</f>
        <v>13850</v>
      </c>
      <c r="F48" s="24" t="n">
        <f aca="false">(F5+F6)*F45+F8*Inputs!$E$62+F7*Inputs!$E$63</f>
        <v>47300</v>
      </c>
      <c r="G48" s="24" t="n">
        <f aca="false">(G5+G6)*G45+G8*Inputs!$E$62+G7*Inputs!$E$63</f>
        <v>113600</v>
      </c>
      <c r="H48" s="24" t="n">
        <f aca="false">SUM(C48:G48)</f>
        <v>175680</v>
      </c>
    </row>
    <row r="49" customFormat="false" ht="15" hidden="false" customHeight="false" outlineLevel="0" collapsed="false">
      <c r="A49" s="10" t="s">
        <v>412</v>
      </c>
      <c r="B49" s="10" t="s">
        <v>194</v>
      </c>
      <c r="C49" s="24" t="n">
        <f aca="false">(C5+C6+C8+C7)*Inputs!$E$64</f>
        <v>0</v>
      </c>
      <c r="D49" s="24" t="n">
        <f aca="false">(D5+D6+D8+D7)*Inputs!$E$64</f>
        <v>75</v>
      </c>
      <c r="E49" s="24" t="n">
        <f aca="false">(E5+E6+E8+E7)*Inputs!$E$64</f>
        <v>1250</v>
      </c>
      <c r="F49" s="24" t="n">
        <f aca="false">(F5+F6+F8+F7)*Inputs!$E$64</f>
        <v>5000</v>
      </c>
      <c r="G49" s="24" t="n">
        <f aca="false">(G5+G6+G8+G7)*Inputs!$E$64</f>
        <v>14000</v>
      </c>
      <c r="H49" s="24" t="n">
        <f aca="false">SUM(C49:G49)</f>
        <v>20325</v>
      </c>
    </row>
    <row r="50" customFormat="false" ht="15" hidden="false" customHeight="false" outlineLevel="0" collapsed="false">
      <c r="A50" s="12" t="s">
        <v>413</v>
      </c>
      <c r="B50" s="10" t="s">
        <v>194</v>
      </c>
      <c r="C50" s="24" t="n">
        <f aca="false">(C18+C20)*C46</f>
        <v>0</v>
      </c>
      <c r="D50" s="24" t="n">
        <f aca="false">(D18+D20)*D46</f>
        <v>3192</v>
      </c>
      <c r="E50" s="24" t="n">
        <f aca="false">(E18+E20)*E46</f>
        <v>35105</v>
      </c>
      <c r="F50" s="24" t="n">
        <f aca="false">(F18+F20)*F46</f>
        <v>178962.5</v>
      </c>
      <c r="G50" s="24" t="n">
        <f aca="false">(G18+G20)*G46</f>
        <v>405688.125</v>
      </c>
      <c r="H50" s="24" t="n">
        <f aca="false">SUM(C50:G50)</f>
        <v>622947.625</v>
      </c>
    </row>
    <row r="51" customFormat="false" ht="15" hidden="false" customHeight="false" outlineLevel="0" collapsed="false">
      <c r="A51" s="12" t="s">
        <v>414</v>
      </c>
      <c r="B51" s="10" t="s">
        <v>194</v>
      </c>
      <c r="C51" s="24" t="n">
        <f aca="false">(C14-C7)*Inputs_Yearly!$E$17+C7*Inputs_Yearly!$E$21</f>
        <v>0</v>
      </c>
      <c r="D51" s="24" t="n">
        <f aca="false">(D14-D7)*Inputs_Yearly!$F$17+D7*Inputs_Yearly!$F$21</f>
        <v>270</v>
      </c>
      <c r="E51" s="24" t="n">
        <f aca="false">(E14-E7)*Inputs_Yearly!$G$17+E7*Inputs_Yearly!$G$21</f>
        <v>2550</v>
      </c>
      <c r="F51" s="24" t="n">
        <f aca="false">(F14-F7)*Inputs_Yearly!$H$17+F7*Inputs_Yearly!$H$21</f>
        <v>8418.75</v>
      </c>
      <c r="G51" s="24" t="n">
        <f aca="false">(G14-G7)*Inputs_Yearly!$I$17+G7*Inputs_Yearly!$I$21</f>
        <v>18768.25</v>
      </c>
      <c r="H51" s="24" t="n">
        <f aca="false">SUM(C51:G51)</f>
        <v>30007</v>
      </c>
    </row>
    <row r="52" customFormat="false" ht="15" hidden="false" customHeight="false" outlineLevel="0" collapsed="false">
      <c r="A52" s="12" t="s">
        <v>415</v>
      </c>
      <c r="B52" s="10" t="s">
        <v>194</v>
      </c>
      <c r="C52" s="14" t="n">
        <f aca="false">Inputs!$E$65*C37</f>
        <v>0</v>
      </c>
      <c r="D52" s="14" t="n">
        <f aca="false">Inputs!$E$65*D37</f>
        <v>62.58</v>
      </c>
      <c r="E52" s="14" t="n">
        <f aca="false">Inputs!$E$65*E37</f>
        <v>1773.1</v>
      </c>
      <c r="F52" s="14" t="n">
        <f aca="false">Inputs!$E$65*F37</f>
        <v>9858.436</v>
      </c>
      <c r="G52" s="14" t="n">
        <f aca="false">Inputs!$E$65*G37</f>
        <v>25156.7428</v>
      </c>
      <c r="H52" s="24" t="n">
        <f aca="false">SUM(C52:G52)</f>
        <v>36850.8588</v>
      </c>
    </row>
    <row r="53" customFormat="false" ht="15" hidden="false" customHeight="false" outlineLevel="0" collapsed="false">
      <c r="A53" s="12" t="s">
        <v>416</v>
      </c>
      <c r="B53" s="10" t="s">
        <v>194</v>
      </c>
      <c r="C53" s="24" t="n">
        <f aca="false">C19*C46</f>
        <v>0</v>
      </c>
      <c r="D53" s="24" t="n">
        <f aca="false">D19*D46</f>
        <v>1368</v>
      </c>
      <c r="E53" s="24" t="n">
        <f aca="false">E19*E46</f>
        <v>15045</v>
      </c>
      <c r="F53" s="24" t="n">
        <f aca="false">F19*F46</f>
        <v>0</v>
      </c>
      <c r="G53" s="24" t="n">
        <f aca="false">G19*G46</f>
        <v>0</v>
      </c>
      <c r="H53" s="24" t="n">
        <f aca="false">SUM(C53:G53)</f>
        <v>16413</v>
      </c>
    </row>
    <row r="54" customFormat="false" ht="15" hidden="false" customHeight="false" outlineLevel="0" collapsed="false">
      <c r="A54" s="12" t="s">
        <v>417</v>
      </c>
      <c r="B54" s="10" t="s">
        <v>194</v>
      </c>
      <c r="C54" s="24" t="n">
        <f aca="false">0+C53</f>
        <v>0</v>
      </c>
      <c r="D54" s="24" t="n">
        <f aca="false">C54+D53</f>
        <v>1368</v>
      </c>
      <c r="E54" s="24" t="n">
        <f aca="false">D54+E53</f>
        <v>16413</v>
      </c>
      <c r="F54" s="24" t="n">
        <f aca="false">E54+F53</f>
        <v>16413</v>
      </c>
      <c r="G54" s="24" t="n">
        <f aca="false">F54+G53</f>
        <v>16413</v>
      </c>
    </row>
    <row r="55" customFormat="false" ht="15" hidden="false" customHeight="false" outlineLevel="0" collapsed="false">
      <c r="A55" s="12" t="s">
        <v>418</v>
      </c>
      <c r="B55" s="10" t="s">
        <v>194</v>
      </c>
      <c r="C55" s="24" t="n">
        <f aca="false">0*(1-Inputs!$E$75)/5+C53*(1-Inputs!$E$75)/5*0.5</f>
        <v>0</v>
      </c>
      <c r="D55" s="24" t="n">
        <f aca="false">C54*(1-Inputs!$E$75)/5+D53*(1-Inputs!$E$75)/5*0.5</f>
        <v>116.28</v>
      </c>
      <c r="E55" s="24" t="n">
        <f aca="false">D54*(1-Inputs!$E$75)/5+E53*(1-Inputs!$E$75)/5*0.5</f>
        <v>1511.385</v>
      </c>
      <c r="F55" s="24" t="n">
        <f aca="false">E54*(1-Inputs!$E$75)/5+F53*(1-Inputs!$E$75)/5*0.5</f>
        <v>2790.21</v>
      </c>
      <c r="G55" s="24" t="n">
        <f aca="false">F54*(1-Inputs!$E$75)/5+G53*(1-Inputs!$E$75)/5*0.5</f>
        <v>2790.21</v>
      </c>
      <c r="H55" s="24" t="n">
        <f aca="false">SUM(C55:G55)</f>
        <v>7208.085</v>
      </c>
    </row>
    <row r="56" customFormat="false" ht="15" hidden="false" customHeight="false" outlineLevel="0" collapsed="false">
      <c r="A56" s="12" t="s">
        <v>419</v>
      </c>
      <c r="B56" s="10" t="s">
        <v>194</v>
      </c>
      <c r="C56" s="24" t="n">
        <f aca="false">(C23*Inputs!$E$51+C25+C27)*C47</f>
        <v>0</v>
      </c>
      <c r="D56" s="24" t="n">
        <f aca="false">(D23*Inputs!$E$51+D25+D27)*D47</f>
        <v>48.348</v>
      </c>
      <c r="E56" s="24" t="n">
        <f aca="false">(E23*Inputs!$E$51+E25+E27)*E47</f>
        <v>704.996</v>
      </c>
      <c r="F56" s="24" t="n">
        <f aca="false">(F23*Inputs!$E$51+F25+F27)*F47</f>
        <v>3033.26475</v>
      </c>
      <c r="G56" s="24" t="n">
        <f aca="false">(G23*Inputs!$E$51+G25+G27)*G47</f>
        <v>9653.4605</v>
      </c>
      <c r="H56" s="24" t="n">
        <f aca="false">SUM(C56:G56)</f>
        <v>13440.06925</v>
      </c>
    </row>
    <row r="57" customFormat="false" ht="15" hidden="false" customHeight="false" outlineLevel="0" collapsed="false">
      <c r="A57" s="12" t="s">
        <v>420</v>
      </c>
      <c r="B57" s="10" t="s">
        <v>194</v>
      </c>
      <c r="C57" s="24" t="n">
        <f aca="false">C40*Inputs!$E$69+(C25+C27)*C34*Inputs!$E$69</f>
        <v>0</v>
      </c>
      <c r="D57" s="24" t="n">
        <f aca="false">D40*Inputs!$E$69+(D25+D27)*D34*Inputs!$E$69</f>
        <v>14.0805</v>
      </c>
      <c r="E57" s="24" t="n">
        <f aca="false">E40*Inputs!$E$69+(E25+E27)*E34*Inputs!$E$69</f>
        <v>227.63475</v>
      </c>
      <c r="F57" s="24" t="n">
        <f aca="false">F40*Inputs!$E$69+(F25+F27)*F34*Inputs!$E$69</f>
        <v>1259.0235</v>
      </c>
      <c r="G57" s="24" t="n">
        <f aca="false">G40*Inputs!$E$69+(G25+G27)*G34*Inputs!$E$69</f>
        <v>4213.818</v>
      </c>
      <c r="H57" s="24" t="n">
        <f aca="false">SUM(C57:G57)</f>
        <v>5714.55675</v>
      </c>
    </row>
    <row r="58" customFormat="false" ht="15" hidden="false" customHeight="false" outlineLevel="0" collapsed="false">
      <c r="A58" s="12" t="s">
        <v>421</v>
      </c>
      <c r="B58" s="10" t="s">
        <v>194</v>
      </c>
      <c r="C58" s="24" t="n">
        <f aca="false">0*Inputs!$E$53*Inputs!$E$52*Inputs!$E$70+0*Inputs!$E$55*Inputs!$E$54*Inputs!$E$71</f>
        <v>0</v>
      </c>
      <c r="D58" s="24" t="n">
        <f aca="false">C14*Inputs!$E$53*Inputs!$E$52*Inputs!$E$70+0*Inputs!$E$55*Inputs!$E$54*Inputs!$E$71</f>
        <v>0</v>
      </c>
      <c r="E58" s="24" t="n">
        <f aca="false">D14*Inputs!$E$53*Inputs!$E$52*Inputs!$E$70+C14*Inputs!$E$55*Inputs!$E$54*Inputs!$E$71</f>
        <v>3.6</v>
      </c>
      <c r="F58" s="24" t="n">
        <f aca="false">E14*Inputs!$E$53*Inputs!$E$52*Inputs!$E$70+D14*Inputs!$E$55*Inputs!$E$54*Inputs!$E$71</f>
        <v>78</v>
      </c>
      <c r="G58" s="24" t="n">
        <f aca="false">F14*Inputs!$E$53*Inputs!$E$52*Inputs!$E$70+E14*Inputs!$E$55*Inputs!$E$54*Inputs!$E$71</f>
        <v>591</v>
      </c>
      <c r="H58" s="24" t="n">
        <f aca="false">SUM(C58:G58)</f>
        <v>672.6</v>
      </c>
    </row>
    <row r="59" customFormat="false" ht="15" hidden="false" customHeight="false" outlineLevel="0" collapsed="false">
      <c r="A59" s="12" t="s">
        <v>422</v>
      </c>
      <c r="B59" s="10" t="s">
        <v>194</v>
      </c>
      <c r="C59" s="24" t="n">
        <f aca="false">C48+C49+C50+C51+C52+C55+C56+C57+C58</f>
        <v>0</v>
      </c>
      <c r="D59" s="24" t="n">
        <f aca="false">D48+D49+D50+D51+D52+D55+D56+D57+D58</f>
        <v>4708.2885</v>
      </c>
      <c r="E59" s="24" t="n">
        <f aca="false">E48+E49+E50+E51+E52+E55+E56+E57+E58</f>
        <v>56975.71575</v>
      </c>
      <c r="F59" s="24" t="n">
        <f aca="false">F48+F49+F50+F51+F52+F55+F56+F57+F58</f>
        <v>256700.18425</v>
      </c>
      <c r="G59" s="24" t="n">
        <f aca="false">G48+G49+G50+G51+G52+G55+G56+G57+G58</f>
        <v>594461.6063</v>
      </c>
      <c r="H59" s="24" t="n">
        <f aca="false">SUM(C59:G59)</f>
        <v>912845.7948</v>
      </c>
    </row>
    <row r="60" customFormat="false" ht="15" hidden="false" customHeight="false" outlineLevel="0" collapsed="false">
      <c r="A60" s="25" t="s">
        <v>31</v>
      </c>
      <c r="B60" s="10" t="s">
        <v>194</v>
      </c>
      <c r="C60" s="24" t="n">
        <f aca="false">C42-C59</f>
        <v>0</v>
      </c>
      <c r="D60" s="24" t="n">
        <f aca="false">D42-D59</f>
        <v>-2103.1785</v>
      </c>
      <c r="E60" s="24" t="n">
        <f aca="false">E42-E59</f>
        <v>17258.47925</v>
      </c>
      <c r="F60" s="24" t="n">
        <f aca="false">F42-F59</f>
        <v>102485.68575</v>
      </c>
      <c r="G60" s="24" t="n">
        <f aca="false">G42-G59</f>
        <v>320444.7737</v>
      </c>
      <c r="H60" s="24" t="n">
        <f aca="false">SUM(C60:G60)</f>
        <v>438085.7602</v>
      </c>
    </row>
    <row r="61" customFormat="false" ht="15" hidden="false" customHeight="false" outlineLevel="0" collapsed="false">
      <c r="A61" s="10" t="s">
        <v>32</v>
      </c>
      <c r="B61" s="12" t="s">
        <v>33</v>
      </c>
      <c r="C61" s="26" t="n">
        <f aca="false">IF(C42=0,0,C60/C42)</f>
        <v>0</v>
      </c>
      <c r="D61" s="26" t="n">
        <f aca="false">IF(D42=0,0,D60/D42)</f>
        <v>-0.807328097469972</v>
      </c>
      <c r="E61" s="26" t="n">
        <f aca="false">IF(E42=0,0,E60/E42)</f>
        <v>0.232486918595938</v>
      </c>
      <c r="F61" s="26" t="n">
        <f aca="false">IF(F42=0,0,F60/F42)</f>
        <v>0.285327721132237</v>
      </c>
      <c r="G61" s="26" t="n">
        <f aca="false">IF(G42=0,0,G60/G42)</f>
        <v>0.350248703807268</v>
      </c>
    </row>
    <row r="62" customFormat="false" ht="15" hidden="false" customHeight="false" outlineLevel="0" collapsed="false">
      <c r="A62" s="15" t="s">
        <v>423</v>
      </c>
      <c r="B62" s="16"/>
      <c r="C62" s="16"/>
      <c r="D62" s="16"/>
      <c r="E62" s="16"/>
      <c r="F62" s="16"/>
      <c r="G62" s="16"/>
      <c r="H62" s="16"/>
    </row>
    <row r="63" customFormat="false" ht="15" hidden="false" customHeight="false" outlineLevel="0" collapsed="false">
      <c r="A63" s="12" t="s">
        <v>424</v>
      </c>
      <c r="B63" s="10" t="s">
        <v>194</v>
      </c>
      <c r="C63" s="14" t="n">
        <f aca="false">Inputs!$E$72*(C6*(Inputs!$E$34*C31+C10*(Inputs!$E$37+Inputs!$E$38)*C31)+C7*(Inputs!$E$36+Inputs!$E$37+Inputs!$E$39)*C31)</f>
        <v>0</v>
      </c>
      <c r="D63" s="14" t="n">
        <f aca="false">Inputs!$E$72*(D6*(Inputs!$E$34*D31+D10*(Inputs!$E$37+Inputs!$E$38)*D31)+D7*(Inputs!$E$36+Inputs!$E$37+Inputs!$E$39)*D31)</f>
        <v>0</v>
      </c>
      <c r="E63" s="14" t="n">
        <f aca="false">Inputs!$E$72*(E6*(Inputs!$E$34*E31+E10*(Inputs!$E$37+Inputs!$E$38)*E31)+E7*(Inputs!$E$36+Inputs!$E$37+Inputs!$E$39)*E31)</f>
        <v>3569</v>
      </c>
      <c r="F63" s="14" t="n">
        <f aca="false">Inputs!$E$72*(F6*(Inputs!$E$34*F31+F10*(Inputs!$E$37+Inputs!$E$38)*F31)+F7*(Inputs!$E$36+Inputs!$E$37+Inputs!$E$39)*F31)</f>
        <v>26718.5</v>
      </c>
      <c r="G63" s="14" t="n">
        <f aca="false">Inputs!$E$72*(G6*(Inputs!$E$34*G31+G10*(Inputs!$E$37+Inputs!$E$38)*G31)+G7*(Inputs!$E$36+Inputs!$E$37+Inputs!$E$39)*G31)</f>
        <v>74753</v>
      </c>
      <c r="H63" s="24" t="n">
        <f aca="false">SUM(C63:G63)</f>
        <v>105040.5</v>
      </c>
    </row>
    <row r="64" customFormat="false" ht="15" hidden="false" customHeight="false" outlineLevel="0" collapsed="false">
      <c r="A64" s="10" t="s">
        <v>425</v>
      </c>
      <c r="B64" s="10" t="s">
        <v>194</v>
      </c>
      <c r="C64" s="24" t="n">
        <f aca="false">C5*Inputs!$E$73</f>
        <v>0</v>
      </c>
      <c r="D64" s="24" t="n">
        <f aca="false">D5*Inputs!$E$73</f>
        <v>450</v>
      </c>
      <c r="E64" s="24" t="n">
        <f aca="false">E5*Inputs!$E$73</f>
        <v>4500</v>
      </c>
      <c r="F64" s="24" t="n">
        <f aca="false">F5*Inputs!$E$73</f>
        <v>7500</v>
      </c>
      <c r="G64" s="24" t="n">
        <f aca="false">G5*Inputs!$E$73</f>
        <v>9000</v>
      </c>
      <c r="H64" s="24" t="n">
        <f aca="false">SUM(C64:G64)</f>
        <v>21450</v>
      </c>
    </row>
    <row r="65" customFormat="false" ht="15" hidden="false" customHeight="false" outlineLevel="0" collapsed="false">
      <c r="A65" s="10" t="s">
        <v>426</v>
      </c>
      <c r="B65" s="10" t="s">
        <v>194</v>
      </c>
      <c r="C65" s="14" t="n">
        <f aca="false">Inputs_Yearly!$E$57*Inputs!$E$74</f>
        <v>0</v>
      </c>
      <c r="D65" s="14" t="n">
        <f aca="false">Inputs_Yearly!$F$57*Inputs!$E$74</f>
        <v>0</v>
      </c>
      <c r="E65" s="14" t="n">
        <f aca="false">Inputs_Yearly!$G$57*Inputs!$E$74</f>
        <v>2000</v>
      </c>
      <c r="F65" s="14" t="n">
        <f aca="false">Inputs_Yearly!$H$57*Inputs!$E$74</f>
        <v>4000</v>
      </c>
      <c r="G65" s="14" t="n">
        <f aca="false">Inputs_Yearly!$I$57*Inputs!$E$74</f>
        <v>6000</v>
      </c>
      <c r="H65" s="24" t="n">
        <f aca="false">SUM(C65:G65)</f>
        <v>12000</v>
      </c>
    </row>
    <row r="66" customFormat="false" ht="15" hidden="false" customHeight="false" outlineLevel="0" collapsed="false">
      <c r="A66" s="18" t="s">
        <v>427</v>
      </c>
      <c r="B66" s="10" t="s">
        <v>194</v>
      </c>
      <c r="C66" s="24" t="n">
        <f aca="false">C60-C63-C64-C65</f>
        <v>0</v>
      </c>
      <c r="D66" s="24" t="n">
        <f aca="false">D60-D63-D64-D65</f>
        <v>-2553.1785</v>
      </c>
      <c r="E66" s="24" t="n">
        <f aca="false">E60-E63-E64-E65</f>
        <v>7189.47925000001</v>
      </c>
      <c r="F66" s="24" t="n">
        <f aca="false">F60-F63-F64-F65</f>
        <v>64267.18575</v>
      </c>
      <c r="G66" s="24" t="n">
        <f aca="false">G60-G63-G64-G65</f>
        <v>230691.7737</v>
      </c>
      <c r="H66" s="24" t="n">
        <f aca="false">SUM(C66:G66)</f>
        <v>299595.2602</v>
      </c>
    </row>
    <row r="67" customFormat="false" ht="15" hidden="false" customHeight="false" outlineLevel="0" collapsed="false">
      <c r="A67" s="10" t="s">
        <v>428</v>
      </c>
      <c r="B67" s="10" t="s">
        <v>194</v>
      </c>
      <c r="C67" s="14" t="n">
        <f aca="false">Inputs_Yearly!$E$61*Inputs_Yearly!$E$65</f>
        <v>55825</v>
      </c>
      <c r="D67" s="14" t="n">
        <f aca="false">Inputs_Yearly!$F$61*Inputs_Yearly!$F$65</f>
        <v>97050</v>
      </c>
      <c r="E67" s="14" t="n">
        <f aca="false">Inputs_Yearly!$G$61*Inputs_Yearly!$G$65</f>
        <v>170000</v>
      </c>
      <c r="F67" s="14" t="n">
        <f aca="false">Inputs_Yearly!$H$61*Inputs_Yearly!$H$65</f>
        <v>272000</v>
      </c>
      <c r="G67" s="14" t="n">
        <f aca="false">Inputs_Yearly!$I$61*Inputs_Yearly!$I$65</f>
        <v>357000</v>
      </c>
      <c r="H67" s="24" t="n">
        <f aca="false">SUM(C67:G67)</f>
        <v>951875</v>
      </c>
    </row>
    <row r="68" customFormat="false" ht="15" hidden="false" customHeight="false" outlineLevel="0" collapsed="false">
      <c r="A68" s="10" t="s">
        <v>429</v>
      </c>
      <c r="B68" s="10" t="s">
        <v>194</v>
      </c>
      <c r="C68" s="14" t="n">
        <f aca="false">Inputs_Yearly!$E$69+Inputs_Yearly!$E$73+Inputs_Yearly!$E$77+Inputs_Yearly!$E$81+Inputs_Yearly!$E$85+Inputs_Yearly!$E$89+Inputs_Yearly!$E$93+Inputs_Yearly!$E$97+Inputs_Yearly!$E$101+Inputs_Yearly!$E$105+Inputs_Yearly!$E$109+Inputs_Yearly!$E$113</f>
        <v>36342.75</v>
      </c>
      <c r="D68" s="14" t="n">
        <f aca="false">Inputs_Yearly!$F$69+Inputs_Yearly!$F$73+Inputs_Yearly!$F$77+Inputs_Yearly!$F$81+Inputs_Yearly!$F$85+Inputs_Yearly!$F$89+Inputs_Yearly!$F$93+Inputs_Yearly!$F$97+Inputs_Yearly!$F$101+Inputs_Yearly!$F$105+Inputs_Yearly!$F$109+Inputs_Yearly!$F$113</f>
        <v>41116</v>
      </c>
      <c r="E68" s="14" t="n">
        <f aca="false">Inputs_Yearly!$G$69+Inputs_Yearly!$G$73+Inputs_Yearly!$G$77+Inputs_Yearly!$G$81+Inputs_Yearly!$G$85+Inputs_Yearly!$G$89+Inputs_Yearly!$G$93+Inputs_Yearly!$G$97+Inputs_Yearly!$G$101+Inputs_Yearly!$G$105+Inputs_Yearly!$G$109+Inputs_Yearly!$G$113</f>
        <v>135000</v>
      </c>
      <c r="F68" s="14" t="n">
        <f aca="false">Inputs_Yearly!$H$69+Inputs_Yearly!$H$73+Inputs_Yearly!$H$77+Inputs_Yearly!$H$81+Inputs_Yearly!$H$85+Inputs_Yearly!$H$89+Inputs_Yearly!$H$93+Inputs_Yearly!$H$97+Inputs_Yearly!$H$101+Inputs_Yearly!$H$105+Inputs_Yearly!$H$109+Inputs_Yearly!$H$113</f>
        <v>167000</v>
      </c>
      <c r="G68" s="14" t="n">
        <f aca="false">Inputs_Yearly!$I$69+Inputs_Yearly!$I$73+Inputs_Yearly!$I$77+Inputs_Yearly!$I$81+Inputs_Yearly!$I$85+Inputs_Yearly!$I$89+Inputs_Yearly!$I$93+Inputs_Yearly!$I$97+Inputs_Yearly!$I$101+Inputs_Yearly!$I$105+Inputs_Yearly!$I$109+Inputs_Yearly!$I$113</f>
        <v>210000</v>
      </c>
      <c r="H68" s="24" t="n">
        <f aca="false">SUM(C68:G68)</f>
        <v>589458.75</v>
      </c>
    </row>
    <row r="69" customFormat="false" ht="15" hidden="false" customHeight="false" outlineLevel="0" collapsed="false">
      <c r="A69" s="12" t="s">
        <v>430</v>
      </c>
      <c r="B69" s="10" t="s">
        <v>194</v>
      </c>
      <c r="C69" s="24" t="n">
        <f aca="false">C67+C68</f>
        <v>92167.75</v>
      </c>
      <c r="D69" s="24" t="n">
        <f aca="false">D67+D68</f>
        <v>138166</v>
      </c>
      <c r="E69" s="24" t="n">
        <f aca="false">E67+E68</f>
        <v>305000</v>
      </c>
      <c r="F69" s="24" t="n">
        <f aca="false">F67+F68</f>
        <v>439000</v>
      </c>
      <c r="G69" s="24" t="n">
        <f aca="false">G67+G68</f>
        <v>567000</v>
      </c>
      <c r="H69" s="24" t="n">
        <f aca="false">SUM(C69:G69)</f>
        <v>1541333.75</v>
      </c>
    </row>
    <row r="70" customFormat="false" ht="15" hidden="false" customHeight="false" outlineLevel="0" collapsed="false">
      <c r="A70" s="25" t="s">
        <v>431</v>
      </c>
      <c r="B70" s="10" t="s">
        <v>194</v>
      </c>
      <c r="C70" s="24" t="n">
        <f aca="false">C66-C69</f>
        <v>-92167.75</v>
      </c>
      <c r="D70" s="24" t="n">
        <f aca="false">D66-D69</f>
        <v>-140719.1785</v>
      </c>
      <c r="E70" s="24" t="n">
        <f aca="false">E66-E69</f>
        <v>-297810.52075</v>
      </c>
      <c r="F70" s="24" t="n">
        <f aca="false">F66-F69</f>
        <v>-374732.81425</v>
      </c>
      <c r="G70" s="24" t="n">
        <f aca="false">G66-G69</f>
        <v>-336308.2263</v>
      </c>
      <c r="H70" s="24" t="n">
        <f aca="false">SUM(C70:G70)</f>
        <v>-1241738.4898</v>
      </c>
    </row>
    <row r="71" customFormat="false" ht="15" hidden="false" customHeight="false" outlineLevel="0" collapsed="false">
      <c r="A71" s="10" t="s">
        <v>432</v>
      </c>
      <c r="B71" s="10" t="s">
        <v>194</v>
      </c>
      <c r="C71" s="24" t="n">
        <f aca="false">C70+C55-C53</f>
        <v>-92167.75</v>
      </c>
      <c r="D71" s="24" t="n">
        <f aca="false">D70+D55-D53</f>
        <v>-141970.8985</v>
      </c>
      <c r="E71" s="24" t="n">
        <f aca="false">E70+E55-E53</f>
        <v>-311344.13575</v>
      </c>
      <c r="F71" s="24" t="n">
        <f aca="false">F70+F55-F53</f>
        <v>-371942.60425</v>
      </c>
      <c r="G71" s="24" t="n">
        <f aca="false">G70+G55-G53</f>
        <v>-333518.0163</v>
      </c>
      <c r="H71" s="24" t="n">
        <f aca="false">SUM(C71:G71)</f>
        <v>-1250943.4048</v>
      </c>
    </row>
    <row r="72" customFormat="false" ht="15" hidden="false" customHeight="false" outlineLevel="0" collapsed="false">
      <c r="A72" s="10" t="s">
        <v>37</v>
      </c>
      <c r="B72" s="10" t="s">
        <v>194</v>
      </c>
      <c r="C72" s="24" t="n">
        <f aca="false">0+C71</f>
        <v>-92167.75</v>
      </c>
      <c r="D72" s="24" t="n">
        <f aca="false">C72+D71</f>
        <v>-234138.6485</v>
      </c>
      <c r="E72" s="24" t="n">
        <f aca="false">D72+E71</f>
        <v>-545482.78425</v>
      </c>
      <c r="F72" s="24" t="n">
        <f aca="false">E72+F71</f>
        <v>-917425.3885</v>
      </c>
      <c r="G72" s="24" t="n">
        <f aca="false">F72+G71</f>
        <v>-1250943.4048</v>
      </c>
    </row>
    <row r="73" customFormat="false" ht="15" hidden="false" customHeight="false" outlineLevel="0" collapsed="false">
      <c r="A73" s="15" t="s">
        <v>433</v>
      </c>
      <c r="B73" s="16"/>
      <c r="C73" s="16"/>
      <c r="D73" s="16"/>
      <c r="E73" s="16"/>
      <c r="F73" s="16"/>
      <c r="G73" s="16"/>
      <c r="H73" s="16"/>
    </row>
    <row r="74" customFormat="false" ht="15" hidden="false" customHeight="false" outlineLevel="0" collapsed="false">
      <c r="A74" s="12" t="s">
        <v>434</v>
      </c>
      <c r="B74" s="10" t="s">
        <v>194</v>
      </c>
      <c r="C74" s="24" t="n">
        <f aca="false">C35+C36+C37</f>
        <v>0</v>
      </c>
      <c r="D74" s="24" t="n">
        <f aca="false">D35+D36+D37</f>
        <v>2359.5</v>
      </c>
      <c r="E74" s="24" t="n">
        <f aca="false">E35+E36+E37</f>
        <v>70227.5</v>
      </c>
      <c r="F74" s="24" t="n">
        <f aca="false">F35+F36+F37</f>
        <v>345160.9</v>
      </c>
      <c r="G74" s="24" t="n">
        <f aca="false">G35+G36+G37</f>
        <v>877188.57</v>
      </c>
      <c r="H74" s="24" t="n">
        <f aca="false">SUM(C74:G74)</f>
        <v>1294936.47</v>
      </c>
    </row>
    <row r="75" customFormat="false" ht="15" hidden="false" customHeight="false" outlineLevel="0" collapsed="false">
      <c r="A75" s="12" t="s">
        <v>435</v>
      </c>
      <c r="B75" s="10" t="s">
        <v>194</v>
      </c>
      <c r="C75" s="24" t="n">
        <f aca="false">C35+C36</f>
        <v>0</v>
      </c>
      <c r="D75" s="24" t="n">
        <f aca="false">D35+D36</f>
        <v>795</v>
      </c>
      <c r="E75" s="24" t="n">
        <f aca="false">E35+E36</f>
        <v>25900</v>
      </c>
      <c r="F75" s="24" t="n">
        <f aca="false">F35+F36</f>
        <v>98700</v>
      </c>
      <c r="G75" s="24" t="n">
        <f aca="false">G35+G36</f>
        <v>248270</v>
      </c>
      <c r="H75" s="24" t="n">
        <f aca="false">SUM(C75:G75)</f>
        <v>373665</v>
      </c>
    </row>
    <row r="76" customFormat="false" ht="15" hidden="false" customHeight="false" outlineLevel="0" collapsed="false">
      <c r="A76" s="12" t="s">
        <v>436</v>
      </c>
      <c r="B76" s="10" t="s">
        <v>194</v>
      </c>
      <c r="C76" s="24" t="n">
        <f aca="false">C38+C39+C40</f>
        <v>0</v>
      </c>
      <c r="D76" s="24" t="n">
        <f aca="false">D38+D39+D40</f>
        <v>245.61</v>
      </c>
      <c r="E76" s="24" t="n">
        <f aca="false">E38+E39+E40</f>
        <v>3970.695</v>
      </c>
      <c r="F76" s="24" t="n">
        <f aca="false">F38+F39+F40</f>
        <v>13454.97</v>
      </c>
      <c r="G76" s="24" t="n">
        <f aca="false">G38+G39+G40</f>
        <v>34782.81</v>
      </c>
      <c r="H76" s="24" t="n">
        <f aca="false">SUM(C76:G76)</f>
        <v>52454.085</v>
      </c>
    </row>
    <row r="77" customFormat="false" ht="15" hidden="false" customHeight="false" outlineLevel="0" collapsed="false">
      <c r="A77" s="12" t="s">
        <v>437</v>
      </c>
      <c r="B77" s="10" t="s">
        <v>194</v>
      </c>
      <c r="C77" s="24" t="n">
        <f aca="false">C41</f>
        <v>0</v>
      </c>
      <c r="D77" s="24" t="n">
        <f aca="false">D41</f>
        <v>0</v>
      </c>
      <c r="E77" s="24" t="n">
        <f aca="false">E41</f>
        <v>36</v>
      </c>
      <c r="F77" s="24" t="n">
        <f aca="false">F41</f>
        <v>570</v>
      </c>
      <c r="G77" s="24" t="n">
        <f aca="false">G41</f>
        <v>2935</v>
      </c>
      <c r="H77" s="24" t="n">
        <f aca="false">SUM(C77:G77)</f>
        <v>3541</v>
      </c>
    </row>
    <row r="78" customFormat="false" ht="15" hidden="false" customHeight="false" outlineLevel="0" collapsed="false">
      <c r="A78" s="18" t="s">
        <v>438</v>
      </c>
      <c r="B78" s="12" t="s">
        <v>33</v>
      </c>
      <c r="C78" s="26" t="n">
        <f aca="false">IF(C42=0,0,(C76+C77)/C42)</f>
        <v>0</v>
      </c>
      <c r="D78" s="26" t="n">
        <f aca="false">IF(D42=0,0,(D76+D77)/D42)</f>
        <v>0.0942800879809298</v>
      </c>
      <c r="E78" s="26" t="n">
        <f aca="false">IF(E42=0,0,(E76+E77)/E42)</f>
        <v>0.0539737111717855</v>
      </c>
      <c r="F78" s="26" t="n">
        <f aca="false">IF(F42=0,0,(F76+F77)/F42)</f>
        <v>0.0390465526942917</v>
      </c>
      <c r="G78" s="26" t="n">
        <f aca="false">IF(G42=0,0,(G76+G77)/G42)</f>
        <v>0.0412258683779208</v>
      </c>
    </row>
    <row r="79" customFormat="false" ht="15" hidden="false" customHeight="false" outlineLevel="0" collapsed="false">
      <c r="A79" s="12" t="s">
        <v>439</v>
      </c>
      <c r="B79" s="12" t="s">
        <v>33</v>
      </c>
      <c r="C79" s="26" t="n">
        <f aca="false">IF(C42=0,0,(C37+C76+C41)/C42)</f>
        <v>0</v>
      </c>
      <c r="D79" s="26" t="n">
        <f aca="false">IF(D42=0,0,(D37+D76+D41)/D42)</f>
        <v>0.69483054458353</v>
      </c>
      <c r="E79" s="26" t="n">
        <f aca="false">IF(E42=0,0,(E37+E76+E41)/E42)</f>
        <v>0.651104184533826</v>
      </c>
      <c r="F79" s="26" t="n">
        <f aca="false">IF(F42=0,0,(F37+F76+F41)/F42)</f>
        <v>0.72521190769559</v>
      </c>
      <c r="G79" s="26" t="n">
        <f aca="false">IF(G42=0,0,(G37+G76+G41)/G42)</f>
        <v>0.728638901829497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15"/>
  </cols>
  <sheetData>
    <row r="1" customFormat="false" ht="19.4" hidden="false" customHeight="false" outlineLevel="0" collapsed="false">
      <c r="A1" s="6" t="s">
        <v>442</v>
      </c>
    </row>
    <row r="2" customFormat="false" ht="15" hidden="false" customHeight="false" outlineLevel="0" collapsed="false">
      <c r="A2" s="10" t="s">
        <v>443</v>
      </c>
    </row>
    <row r="3" customFormat="false" ht="15" hidden="false" customHeight="false" outlineLevel="0" collapsed="false">
      <c r="A3" s="9" t="s">
        <v>49</v>
      </c>
      <c r="B3" s="9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369</v>
      </c>
    </row>
    <row r="4" customFormat="false" ht="15" hidden="false" customHeight="false" outlineLevel="0" collapsed="false">
      <c r="A4" s="15" t="s">
        <v>259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12" t="s">
        <v>370</v>
      </c>
      <c r="B5" s="10" t="s">
        <v>39</v>
      </c>
      <c r="C5" s="14" t="n">
        <f aca="false">Inputs_Yearly!$E$34</f>
        <v>0</v>
      </c>
      <c r="D5" s="14" t="n">
        <f aca="false">Inputs_Yearly!$F$34</f>
        <v>3</v>
      </c>
      <c r="E5" s="14" t="n">
        <f aca="false">Inputs_Yearly!$G$34</f>
        <v>35</v>
      </c>
      <c r="F5" s="14" t="n">
        <f aca="false">Inputs_Yearly!$H$34</f>
        <v>60</v>
      </c>
      <c r="G5" s="14" t="n">
        <f aca="false">Inputs_Yearly!$I$34</f>
        <v>70</v>
      </c>
      <c r="H5" s="24" t="n">
        <f aca="false">SUM(C5:G5)</f>
        <v>168</v>
      </c>
    </row>
    <row r="6" customFormat="false" ht="15" hidden="false" customHeight="false" outlineLevel="0" collapsed="false">
      <c r="A6" s="12" t="s">
        <v>371</v>
      </c>
      <c r="B6" s="10" t="s">
        <v>39</v>
      </c>
      <c r="C6" s="14" t="n">
        <f aca="false">Inputs_Yearly!$E$38</f>
        <v>0</v>
      </c>
      <c r="D6" s="14" t="n">
        <f aca="false">Inputs_Yearly!$F$38</f>
        <v>0</v>
      </c>
      <c r="E6" s="14" t="n">
        <f aca="false">Inputs_Yearly!$G$38</f>
        <v>30</v>
      </c>
      <c r="F6" s="14" t="n">
        <f aca="false">Inputs_Yearly!$H$38</f>
        <v>220</v>
      </c>
      <c r="G6" s="14" t="n">
        <f aca="false">Inputs_Yearly!$I$38</f>
        <v>600</v>
      </c>
      <c r="H6" s="24" t="n">
        <f aca="false">SUM(C6:G6)</f>
        <v>850</v>
      </c>
    </row>
    <row r="7" customFormat="false" ht="15" hidden="false" customHeight="false" outlineLevel="0" collapsed="false">
      <c r="A7" s="12" t="s">
        <v>372</v>
      </c>
      <c r="B7" s="10" t="s">
        <v>39</v>
      </c>
      <c r="C7" s="14" t="n">
        <f aca="false">Inputs_Yearly!$E$42</f>
        <v>0</v>
      </c>
      <c r="D7" s="14" t="n">
        <f aca="false">Inputs_Yearly!$F$42</f>
        <v>0</v>
      </c>
      <c r="E7" s="14" t="n">
        <f aca="false">Inputs_Yearly!$G$42</f>
        <v>0</v>
      </c>
      <c r="F7" s="14" t="n">
        <f aca="false">Inputs_Yearly!$H$42</f>
        <v>30</v>
      </c>
      <c r="G7" s="14" t="n">
        <f aca="false">Inputs_Yearly!$I$42</f>
        <v>120</v>
      </c>
      <c r="H7" s="24" t="n">
        <f aca="false">SUM(C7:G7)</f>
        <v>150</v>
      </c>
    </row>
    <row r="8" customFormat="false" ht="15" hidden="false" customHeight="false" outlineLevel="0" collapsed="false">
      <c r="A8" s="12" t="s">
        <v>373</v>
      </c>
      <c r="B8" s="10" t="s">
        <v>39</v>
      </c>
      <c r="C8" s="24" t="n">
        <f aca="false">0</f>
        <v>0</v>
      </c>
      <c r="D8" s="24" t="n">
        <f aca="false">0</f>
        <v>0</v>
      </c>
      <c r="E8" s="14" t="n">
        <f aca="false">Inputs_Yearly!$E$58*Inputs!$F$80*Inputs!$F$81</f>
        <v>0</v>
      </c>
      <c r="F8" s="14" t="n">
        <f aca="false">Inputs_Yearly!$F$58*Inputs!$F$80*Inputs!$F$81</f>
        <v>0</v>
      </c>
      <c r="G8" s="14" t="n">
        <f aca="false">Inputs_Yearly!$G$58*Inputs!$F$80*Inputs!$F$81</f>
        <v>192</v>
      </c>
      <c r="H8" s="24" t="n">
        <f aca="false">SUM(C8:G8)</f>
        <v>192</v>
      </c>
    </row>
    <row r="9" customFormat="false" ht="15" hidden="false" customHeight="false" outlineLevel="0" collapsed="false">
      <c r="A9" s="25" t="s">
        <v>374</v>
      </c>
      <c r="B9" s="10" t="s">
        <v>39</v>
      </c>
      <c r="C9" s="24" t="n">
        <f aca="false">C5+C6+C8+C7</f>
        <v>0</v>
      </c>
      <c r="D9" s="24" t="n">
        <f aca="false">D5+D6+D8+D7</f>
        <v>3</v>
      </c>
      <c r="E9" s="24" t="n">
        <f aca="false">E5+E6+E8+E7</f>
        <v>65</v>
      </c>
      <c r="F9" s="24" t="n">
        <f aca="false">F5+F6+F8+F7</f>
        <v>310</v>
      </c>
      <c r="G9" s="24" t="n">
        <f aca="false">G5+G6+G8+G7</f>
        <v>982</v>
      </c>
      <c r="H9" s="24" t="n">
        <f aca="false">SUM(C9:G9)</f>
        <v>1360</v>
      </c>
    </row>
    <row r="10" customFormat="false" ht="15" hidden="false" customHeight="false" outlineLevel="0" collapsed="false">
      <c r="A10" s="12" t="s">
        <v>375</v>
      </c>
      <c r="B10" s="12" t="s">
        <v>33</v>
      </c>
      <c r="C10" s="13" t="n">
        <f aca="false">Inputs_Yearly!$E$46</f>
        <v>1</v>
      </c>
      <c r="D10" s="13" t="n">
        <f aca="false">Inputs_Yearly!$F$46</f>
        <v>1</v>
      </c>
      <c r="E10" s="13" t="n">
        <f aca="false">Inputs_Yearly!$G$46</f>
        <v>0.85</v>
      </c>
      <c r="F10" s="13" t="n">
        <f aca="false">Inputs_Yearly!$H$46</f>
        <v>0.85</v>
      </c>
      <c r="G10" s="13" t="n">
        <f aca="false">Inputs_Yearly!$I$46</f>
        <v>0.85</v>
      </c>
    </row>
    <row r="11" customFormat="false" ht="15" hidden="false" customHeight="false" outlineLevel="0" collapsed="false">
      <c r="A11" s="12" t="s">
        <v>376</v>
      </c>
      <c r="B11" s="10" t="s">
        <v>41</v>
      </c>
      <c r="C11" s="24" t="n">
        <f aca="false">0*Inputs!$F$79</f>
        <v>0</v>
      </c>
      <c r="D11" s="24" t="n">
        <f aca="false">C21*Inputs!$F$79</f>
        <v>0</v>
      </c>
      <c r="E11" s="24" t="n">
        <f aca="false">D21*Inputs!$F$79</f>
        <v>0</v>
      </c>
      <c r="F11" s="24" t="n">
        <f aca="false">E21*Inputs!$F$79</f>
        <v>1.17</v>
      </c>
      <c r="G11" s="24" t="n">
        <f aca="false">F21*Inputs!$F$79</f>
        <v>6.0696</v>
      </c>
      <c r="H11" s="24" t="n">
        <f aca="false">SUM(C11:G11)</f>
        <v>7.2396</v>
      </c>
    </row>
    <row r="12" customFormat="false" ht="15" hidden="false" customHeight="false" outlineLevel="0" collapsed="false">
      <c r="A12" s="12" t="s">
        <v>377</v>
      </c>
      <c r="B12" s="10" t="s">
        <v>41</v>
      </c>
      <c r="C12" s="24" t="n">
        <f aca="false">(C5+C6)*C10</f>
        <v>0</v>
      </c>
      <c r="D12" s="24" t="n">
        <f aca="false">(D5+D6)*D10</f>
        <v>3</v>
      </c>
      <c r="E12" s="24" t="n">
        <f aca="false">(E5+E6)*E10</f>
        <v>55.25</v>
      </c>
      <c r="F12" s="24" t="n">
        <f aca="false">(F5+F6)*F10</f>
        <v>238</v>
      </c>
      <c r="G12" s="24" t="n">
        <f aca="false">(G5+G6)*G10</f>
        <v>569.5</v>
      </c>
      <c r="H12" s="24" t="n">
        <f aca="false">SUM(C12:G12)</f>
        <v>865.75</v>
      </c>
    </row>
    <row r="13" customFormat="false" ht="15" hidden="false" customHeight="false" outlineLevel="0" collapsed="false">
      <c r="A13" s="12" t="s">
        <v>378</v>
      </c>
      <c r="B13" s="10" t="s">
        <v>41</v>
      </c>
      <c r="C13" s="24" t="n">
        <f aca="false">C8*Inputs!$F$82</f>
        <v>0</v>
      </c>
      <c r="D13" s="24" t="n">
        <f aca="false">D8*Inputs!$F$82</f>
        <v>0</v>
      </c>
      <c r="E13" s="24" t="n">
        <f aca="false">E8*Inputs!$F$82</f>
        <v>0</v>
      </c>
      <c r="F13" s="24" t="n">
        <f aca="false">F8*Inputs!$F$82</f>
        <v>0</v>
      </c>
      <c r="G13" s="24" t="n">
        <f aca="false">G8*Inputs!$F$82</f>
        <v>57.6</v>
      </c>
      <c r="H13" s="24" t="n">
        <f aca="false">SUM(C13:G13)</f>
        <v>57.6</v>
      </c>
    </row>
    <row r="14" customFormat="false" ht="15" hidden="false" customHeight="false" outlineLevel="0" collapsed="false">
      <c r="A14" s="18" t="s">
        <v>379</v>
      </c>
      <c r="B14" s="10" t="s">
        <v>41</v>
      </c>
      <c r="C14" s="24" t="n">
        <f aca="false">C12+C13+C11+C7</f>
        <v>0</v>
      </c>
      <c r="D14" s="24" t="n">
        <f aca="false">D12+D13+D11+D7</f>
        <v>3</v>
      </c>
      <c r="E14" s="24" t="n">
        <f aca="false">E12+E13+E11+E7</f>
        <v>55.25</v>
      </c>
      <c r="F14" s="24" t="n">
        <f aca="false">F12+F13+F11+F7</f>
        <v>269.17</v>
      </c>
      <c r="G14" s="24" t="n">
        <f aca="false">G12+G13+G11+G7</f>
        <v>753.1696</v>
      </c>
      <c r="H14" s="24" t="n">
        <f aca="false">SUM(C14:G14)</f>
        <v>1080.5896</v>
      </c>
    </row>
    <row r="15" customFormat="false" ht="15" hidden="false" customHeight="false" outlineLevel="0" collapsed="false">
      <c r="A15" s="12" t="s">
        <v>380</v>
      </c>
      <c r="B15" s="12" t="s">
        <v>33</v>
      </c>
      <c r="C15" s="13" t="n">
        <f aca="false">Inputs_Yearly!$E$50</f>
        <v>0</v>
      </c>
      <c r="D15" s="13" t="n">
        <f aca="false">Inputs_Yearly!$F$50</f>
        <v>0.3</v>
      </c>
      <c r="E15" s="13" t="n">
        <f aca="false">Inputs_Yearly!$G$50</f>
        <v>0.3</v>
      </c>
      <c r="F15" s="13" t="n">
        <f aca="false">Inputs_Yearly!$H$50</f>
        <v>0.45</v>
      </c>
      <c r="G15" s="13" t="n">
        <f aca="false">Inputs_Yearly!$I$50</f>
        <v>0.45</v>
      </c>
    </row>
    <row r="16" customFormat="false" ht="15" hidden="false" customHeight="false" outlineLevel="0" collapsed="false">
      <c r="A16" s="12" t="s">
        <v>381</v>
      </c>
      <c r="B16" s="12" t="s">
        <v>327</v>
      </c>
      <c r="C16" s="14" t="n">
        <f aca="false">Inputs_Yearly!$E$54</f>
        <v>0</v>
      </c>
      <c r="D16" s="14" t="n">
        <f aca="false">Inputs_Yearly!$F$54</f>
        <v>0</v>
      </c>
      <c r="E16" s="14" t="n">
        <f aca="false">Inputs_Yearly!$G$54</f>
        <v>0</v>
      </c>
      <c r="F16" s="14" t="n">
        <f aca="false">Inputs_Yearly!$H$54</f>
        <v>1</v>
      </c>
      <c r="G16" s="14" t="n">
        <f aca="false">Inputs_Yearly!$I$54</f>
        <v>1</v>
      </c>
    </row>
    <row r="17" customFormat="false" ht="15" hidden="false" customHeight="false" outlineLevel="0" collapsed="false">
      <c r="A17" s="12" t="s">
        <v>382</v>
      </c>
      <c r="B17" s="10" t="s">
        <v>41</v>
      </c>
      <c r="C17" s="24" t="n">
        <f aca="false">C14*C15</f>
        <v>0</v>
      </c>
      <c r="D17" s="24" t="n">
        <f aca="false">D14*D15</f>
        <v>0.9</v>
      </c>
      <c r="E17" s="24" t="n">
        <f aca="false">E14*E15</f>
        <v>16.575</v>
      </c>
      <c r="F17" s="24" t="n">
        <f aca="false">F14*F15</f>
        <v>121.1265</v>
      </c>
      <c r="G17" s="24" t="n">
        <f aca="false">G14*G15</f>
        <v>338.92632</v>
      </c>
      <c r="H17" s="24" t="n">
        <f aca="false">SUM(C17:G17)</f>
        <v>477.52782</v>
      </c>
    </row>
    <row r="18" customFormat="false" ht="15" hidden="false" customHeight="false" outlineLevel="0" collapsed="false">
      <c r="A18" s="10" t="s">
        <v>383</v>
      </c>
      <c r="B18" s="10" t="s">
        <v>41</v>
      </c>
      <c r="C18" s="24" t="n">
        <f aca="false">C14-C17</f>
        <v>0</v>
      </c>
      <c r="D18" s="24" t="n">
        <f aca="false">D14-D17</f>
        <v>2.1</v>
      </c>
      <c r="E18" s="24" t="n">
        <f aca="false">E14-E17</f>
        <v>38.675</v>
      </c>
      <c r="F18" s="24" t="n">
        <f aca="false">F14-F17</f>
        <v>148.0435</v>
      </c>
      <c r="G18" s="24" t="n">
        <f aca="false">G14-G17</f>
        <v>414.24328</v>
      </c>
      <c r="H18" s="24" t="n">
        <f aca="false">SUM(C18:G18)</f>
        <v>603.06178</v>
      </c>
    </row>
    <row r="19" customFormat="false" ht="15" hidden="false" customHeight="false" outlineLevel="0" collapsed="false">
      <c r="A19" s="12" t="s">
        <v>384</v>
      </c>
      <c r="B19" s="10" t="s">
        <v>41</v>
      </c>
      <c r="C19" s="24" t="n">
        <f aca="false">C17*(1-C16)</f>
        <v>0</v>
      </c>
      <c r="D19" s="24" t="n">
        <f aca="false">D17*(1-D16)</f>
        <v>0.9</v>
      </c>
      <c r="E19" s="24" t="n">
        <f aca="false">E17*(1-E16)</f>
        <v>16.575</v>
      </c>
      <c r="F19" s="24" t="n">
        <f aca="false">F17*(1-F16)</f>
        <v>0</v>
      </c>
      <c r="G19" s="24" t="n">
        <f aca="false">G17*(1-G16)</f>
        <v>0</v>
      </c>
      <c r="H19" s="24" t="n">
        <f aca="false">SUM(C19:G19)</f>
        <v>17.475</v>
      </c>
    </row>
    <row r="20" customFormat="false" ht="15" hidden="false" customHeight="false" outlineLevel="0" collapsed="false">
      <c r="A20" s="12" t="s">
        <v>385</v>
      </c>
      <c r="B20" s="10" t="s">
        <v>41</v>
      </c>
      <c r="C20" s="24" t="n">
        <f aca="false">C17*C16</f>
        <v>0</v>
      </c>
      <c r="D20" s="24" t="n">
        <f aca="false">D17*D16</f>
        <v>0</v>
      </c>
      <c r="E20" s="24" t="n">
        <f aca="false">E17*E16</f>
        <v>0</v>
      </c>
      <c r="F20" s="24" t="n">
        <f aca="false">F17*F16</f>
        <v>121.1265</v>
      </c>
      <c r="G20" s="24" t="n">
        <f aca="false">G17*G16</f>
        <v>338.92632</v>
      </c>
      <c r="H20" s="24" t="n">
        <f aca="false">SUM(C20:G20)</f>
        <v>460.05282</v>
      </c>
    </row>
    <row r="21" customFormat="false" ht="15" hidden="false" customHeight="false" outlineLevel="0" collapsed="false">
      <c r="A21" s="12" t="s">
        <v>386</v>
      </c>
      <c r="B21" s="10" t="s">
        <v>39</v>
      </c>
      <c r="C21" s="24" t="n">
        <f aca="false">0+(C5+C6)*(1-C10)+C8*(1-Inputs!$F$82)-C11</f>
        <v>0</v>
      </c>
      <c r="D21" s="24" t="n">
        <f aca="false">C21+(D5+D6)*(1-D10)+D8*(1-Inputs!$F$82)-D11</f>
        <v>0</v>
      </c>
      <c r="E21" s="24" t="n">
        <f aca="false">D21+(E5+E6)*(1-E10)+E8*(1-Inputs!$F$82)-E11</f>
        <v>9.75</v>
      </c>
      <c r="F21" s="24" t="n">
        <f aca="false">E21+(F5+F6)*(1-F10)+F8*(1-Inputs!$F$82)-F11</f>
        <v>50.58</v>
      </c>
      <c r="G21" s="24" t="n">
        <f aca="false">F21+(G5+G6)*(1-G10)+G8*(1-Inputs!$F$82)-G11</f>
        <v>279.4104</v>
      </c>
    </row>
    <row r="22" customFormat="false" ht="15" hidden="false" customHeight="false" outlineLevel="0" collapsed="false">
      <c r="A22" s="10" t="s">
        <v>387</v>
      </c>
      <c r="B22" s="10" t="s">
        <v>41</v>
      </c>
      <c r="C22" s="24" t="n">
        <f aca="false">0+C18</f>
        <v>0</v>
      </c>
      <c r="D22" s="24" t="n">
        <f aca="false">C22+D18</f>
        <v>2.1</v>
      </c>
      <c r="E22" s="24" t="n">
        <f aca="false">D22+E18</f>
        <v>40.775</v>
      </c>
      <c r="F22" s="24" t="n">
        <f aca="false">E22+F18</f>
        <v>188.8185</v>
      </c>
      <c r="G22" s="24" t="n">
        <f aca="false">F22+G18</f>
        <v>603.06178</v>
      </c>
    </row>
    <row r="23" customFormat="false" ht="15" hidden="false" customHeight="false" outlineLevel="0" collapsed="false">
      <c r="A23" s="10" t="s">
        <v>388</v>
      </c>
      <c r="B23" s="10" t="s">
        <v>41</v>
      </c>
      <c r="C23" s="24" t="n">
        <f aca="false">0+C18/2</f>
        <v>0</v>
      </c>
      <c r="D23" s="24" t="n">
        <f aca="false">C22+D18/2</f>
        <v>1.05</v>
      </c>
      <c r="E23" s="24" t="n">
        <f aca="false">D22+E18/2</f>
        <v>21.4375</v>
      </c>
      <c r="F23" s="24" t="n">
        <f aca="false">E22+F18/2</f>
        <v>114.79675</v>
      </c>
      <c r="G23" s="24" t="n">
        <f aca="false">F22+G18/2</f>
        <v>395.94014</v>
      </c>
    </row>
    <row r="24" customFormat="false" ht="15" hidden="false" customHeight="false" outlineLevel="0" collapsed="false">
      <c r="A24" s="12" t="s">
        <v>389</v>
      </c>
      <c r="B24" s="10" t="s">
        <v>41</v>
      </c>
      <c r="C24" s="24" t="n">
        <f aca="false">0+C19</f>
        <v>0</v>
      </c>
      <c r="D24" s="24" t="n">
        <f aca="false">C24+D19</f>
        <v>0.9</v>
      </c>
      <c r="E24" s="24" t="n">
        <f aca="false">D24+E19</f>
        <v>17.475</v>
      </c>
      <c r="F24" s="24" t="n">
        <f aca="false">E24+F19</f>
        <v>17.475</v>
      </c>
      <c r="G24" s="24" t="n">
        <f aca="false">F24+G19</f>
        <v>17.475</v>
      </c>
    </row>
    <row r="25" customFormat="false" ht="15" hidden="false" customHeight="false" outlineLevel="0" collapsed="false">
      <c r="A25" s="12" t="s">
        <v>390</v>
      </c>
      <c r="B25" s="10" t="s">
        <v>41</v>
      </c>
      <c r="C25" s="24" t="n">
        <f aca="false">0+C19/2</f>
        <v>0</v>
      </c>
      <c r="D25" s="24" t="n">
        <f aca="false">C24+D19/2</f>
        <v>0.45</v>
      </c>
      <c r="E25" s="24" t="n">
        <f aca="false">D24+E19/2</f>
        <v>9.1875</v>
      </c>
      <c r="F25" s="24" t="n">
        <f aca="false">E24+F19/2</f>
        <v>17.475</v>
      </c>
      <c r="G25" s="24" t="n">
        <f aca="false">F24+G19/2</f>
        <v>17.475</v>
      </c>
    </row>
    <row r="26" customFormat="false" ht="15" hidden="false" customHeight="false" outlineLevel="0" collapsed="false">
      <c r="A26" s="12" t="s">
        <v>391</v>
      </c>
      <c r="B26" s="10" t="s">
        <v>41</v>
      </c>
      <c r="C26" s="24" t="n">
        <f aca="false">0+C20</f>
        <v>0</v>
      </c>
      <c r="D26" s="24" t="n">
        <f aca="false">C26+D20</f>
        <v>0</v>
      </c>
      <c r="E26" s="24" t="n">
        <f aca="false">D26+E20</f>
        <v>0</v>
      </c>
      <c r="F26" s="24" t="n">
        <f aca="false">E26+F20</f>
        <v>121.1265</v>
      </c>
      <c r="G26" s="24" t="n">
        <f aca="false">F26+G20</f>
        <v>460.05282</v>
      </c>
    </row>
    <row r="27" customFormat="false" ht="15" hidden="false" customHeight="false" outlineLevel="0" collapsed="false">
      <c r="A27" s="12" t="s">
        <v>392</v>
      </c>
      <c r="B27" s="10" t="s">
        <v>41</v>
      </c>
      <c r="C27" s="24" t="n">
        <f aca="false">0+C20/2</f>
        <v>0</v>
      </c>
      <c r="D27" s="24" t="n">
        <f aca="false">C26+D20/2</f>
        <v>0</v>
      </c>
      <c r="E27" s="24" t="n">
        <f aca="false">D26+E20/2</f>
        <v>0</v>
      </c>
      <c r="F27" s="24" t="n">
        <f aca="false">E26+F20/2</f>
        <v>60.56325</v>
      </c>
      <c r="G27" s="24" t="n">
        <f aca="false">F26+G20/2</f>
        <v>290.58966</v>
      </c>
    </row>
    <row r="28" customFormat="false" ht="15" hidden="false" customHeight="false" outlineLevel="0" collapsed="false">
      <c r="A28" s="12" t="s">
        <v>42</v>
      </c>
      <c r="B28" s="10" t="s">
        <v>41</v>
      </c>
      <c r="C28" s="24" t="n">
        <f aca="false">C22+C24+C26</f>
        <v>0</v>
      </c>
      <c r="D28" s="24" t="n">
        <f aca="false">D22+D24+D26</f>
        <v>3</v>
      </c>
      <c r="E28" s="24" t="n">
        <f aca="false">E22+E24+E26</f>
        <v>58.25</v>
      </c>
      <c r="F28" s="24" t="n">
        <f aca="false">F22+F24+F26</f>
        <v>327.42</v>
      </c>
      <c r="G28" s="24" t="n">
        <f aca="false">G22+G24+G26</f>
        <v>1080.5896</v>
      </c>
    </row>
    <row r="29" customFormat="false" ht="15" hidden="false" customHeight="false" outlineLevel="0" collapsed="false">
      <c r="A29" s="10" t="s">
        <v>393</v>
      </c>
      <c r="B29" s="10" t="s">
        <v>39</v>
      </c>
      <c r="C29" s="14" t="n">
        <f aca="false">Inputs_Yearly!$E$58*Inputs!$F$80*Inputs!$F$81</f>
        <v>0</v>
      </c>
      <c r="D29" s="24" t="n">
        <f aca="false">(Inputs_Yearly!$F$58+Inputs_Yearly!$E$58)*Inputs!$F$80*Inputs!$F$81</f>
        <v>0</v>
      </c>
      <c r="E29" s="24" t="n">
        <f aca="false">(Inputs_Yearly!$G$58+Inputs_Yearly!$F$58)*Inputs!$F$80*Inputs!$F$81</f>
        <v>192</v>
      </c>
      <c r="F29" s="24" t="n">
        <f aca="false">(Inputs_Yearly!$H$58+Inputs_Yearly!$G$58)*Inputs!$F$80*Inputs!$F$81</f>
        <v>480</v>
      </c>
      <c r="G29" s="24" t="n">
        <f aca="false">(Inputs_Yearly!$I$58+Inputs_Yearly!$H$58)*Inputs!$F$80*Inputs!$F$81</f>
        <v>672</v>
      </c>
    </row>
    <row r="30" customFormat="false" ht="15" hidden="false" customHeight="false" outlineLevel="0" collapsed="false">
      <c r="A30" s="15" t="s">
        <v>394</v>
      </c>
      <c r="B30" s="16"/>
      <c r="C30" s="16"/>
      <c r="D30" s="16"/>
      <c r="E30" s="16"/>
      <c r="F30" s="16"/>
      <c r="G30" s="16"/>
      <c r="H30" s="16"/>
    </row>
    <row r="31" customFormat="false" ht="15" hidden="false" customHeight="false" outlineLevel="0" collapsed="false">
      <c r="A31" s="10" t="s">
        <v>395</v>
      </c>
      <c r="B31" s="12" t="s">
        <v>33</v>
      </c>
      <c r="C31" s="13" t="n">
        <f aca="false">Inputs_Yearly!$E$6</f>
        <v>1</v>
      </c>
      <c r="D31" s="13" t="n">
        <f aca="false">Inputs_Yearly!$F$6</f>
        <v>0.6</v>
      </c>
      <c r="E31" s="13" t="n">
        <f aca="false">Inputs_Yearly!$G$6</f>
        <v>1</v>
      </c>
      <c r="F31" s="13" t="n">
        <f aca="false">Inputs_Yearly!$H$6</f>
        <v>1</v>
      </c>
      <c r="G31" s="13" t="n">
        <f aca="false">Inputs_Yearly!$I$6</f>
        <v>1</v>
      </c>
    </row>
    <row r="32" customFormat="false" ht="15" hidden="false" customHeight="false" outlineLevel="0" collapsed="false">
      <c r="A32" s="12" t="s">
        <v>396</v>
      </c>
      <c r="B32" s="10" t="s">
        <v>152</v>
      </c>
      <c r="C32" s="14" t="n">
        <f aca="false">Inputs!$F$44*Inputs!$F$45+Inputs!$F$46*Inputs!$F$47+Inputs!$F$48*Inputs!$F$49</f>
        <v>36</v>
      </c>
      <c r="D32" s="14" t="n">
        <f aca="false">Inputs!$F$44*Inputs!$F$45+Inputs!$F$46*Inputs!$F$47+Inputs!$F$48*Inputs!$F$49</f>
        <v>36</v>
      </c>
      <c r="E32" s="14" t="n">
        <f aca="false">Inputs!$F$44*Inputs!$F$45+Inputs!$F$46*Inputs!$F$47+Inputs!$F$48*Inputs!$F$49</f>
        <v>36</v>
      </c>
      <c r="F32" s="14" t="n">
        <f aca="false">Inputs!$F$44*Inputs!$F$45+Inputs!$F$46*Inputs!$F$47+Inputs!$F$48*Inputs!$F$49</f>
        <v>36</v>
      </c>
      <c r="G32" s="14" t="n">
        <f aca="false">Inputs!$F$44*Inputs!$F$45+Inputs!$F$46*Inputs!$F$47+Inputs!$F$48*Inputs!$F$49</f>
        <v>36</v>
      </c>
    </row>
    <row r="33" customFormat="false" ht="15" hidden="false" customHeight="false" outlineLevel="0" collapsed="false">
      <c r="A33" s="12" t="s">
        <v>397</v>
      </c>
      <c r="B33" s="10" t="s">
        <v>152</v>
      </c>
      <c r="C33" s="14" t="n">
        <f aca="false">Inputs!$F$46*Inputs!$F$47+Inputs!$F$48*Inputs!$F$49</f>
        <v>18</v>
      </c>
      <c r="D33" s="14" t="n">
        <f aca="false">Inputs!$F$46*Inputs!$F$47+Inputs!$F$48*Inputs!$F$49</f>
        <v>18</v>
      </c>
      <c r="E33" s="14" t="n">
        <f aca="false">Inputs!$F$46*Inputs!$F$47+Inputs!$F$48*Inputs!$F$49</f>
        <v>18</v>
      </c>
      <c r="F33" s="14" t="n">
        <f aca="false">Inputs!$F$46*Inputs!$F$47+Inputs!$F$48*Inputs!$F$49</f>
        <v>18</v>
      </c>
      <c r="G33" s="14" t="n">
        <f aca="false">Inputs!$F$46*Inputs!$F$47+Inputs!$F$48*Inputs!$F$49</f>
        <v>18</v>
      </c>
    </row>
    <row r="34" customFormat="false" ht="15" hidden="false" customHeight="false" outlineLevel="0" collapsed="false">
      <c r="A34" s="12" t="s">
        <v>398</v>
      </c>
      <c r="B34" s="10" t="s">
        <v>152</v>
      </c>
      <c r="C34" s="14" t="n">
        <f aca="false">Inputs!$F$44*Inputs!$F$45</f>
        <v>18</v>
      </c>
      <c r="D34" s="14" t="n">
        <f aca="false">Inputs!$F$44*Inputs!$F$45</f>
        <v>18</v>
      </c>
      <c r="E34" s="14" t="n">
        <f aca="false">Inputs!$F$44*Inputs!$F$45</f>
        <v>18</v>
      </c>
      <c r="F34" s="14" t="n">
        <f aca="false">Inputs!$F$44*Inputs!$F$45</f>
        <v>18</v>
      </c>
      <c r="G34" s="14" t="n">
        <f aca="false">Inputs!$F$44*Inputs!$F$45</f>
        <v>18</v>
      </c>
    </row>
    <row r="35" customFormat="false" ht="15" hidden="false" customHeight="false" outlineLevel="0" collapsed="false">
      <c r="A35" s="12" t="s">
        <v>399</v>
      </c>
      <c r="B35" s="10" t="s">
        <v>194</v>
      </c>
      <c r="C35" s="24" t="n">
        <f aca="false">(C5+C6)*Inputs!$F$34*C31+C8*Inputs!$F$35+C7*Inputs!$F$36*C31</f>
        <v>0</v>
      </c>
      <c r="D35" s="24" t="n">
        <f aca="false">(D5+D6)*Inputs!$F$34*D31+D8*Inputs!$F$35+D7*Inputs!$F$36*D31</f>
        <v>810</v>
      </c>
      <c r="E35" s="24" t="n">
        <f aca="false">(E5+E6)*Inputs!$F$34*E31+E8*Inputs!$F$35+E7*Inputs!$F$36*E31</f>
        <v>29250</v>
      </c>
      <c r="F35" s="24" t="n">
        <f aca="false">(F5+F6)*Inputs!$F$34*F31+F8*Inputs!$F$35+F7*Inputs!$F$36*F31</f>
        <v>130500</v>
      </c>
      <c r="G35" s="24" t="n">
        <f aca="false">(G5+G6)*Inputs!$F$34*G31+G8*Inputs!$F$35+G7*Inputs!$F$36*G31</f>
        <v>361740</v>
      </c>
      <c r="H35" s="24" t="n">
        <f aca="false">SUM(C35:G35)</f>
        <v>522300</v>
      </c>
    </row>
    <row r="36" customFormat="false" ht="15" hidden="false" customHeight="false" outlineLevel="0" collapsed="false">
      <c r="A36" s="12" t="s">
        <v>400</v>
      </c>
      <c r="B36" s="10" t="s">
        <v>194</v>
      </c>
      <c r="C36" s="24" t="n">
        <f aca="false">(C14-C7)*Inputs!$F$38*C31+C7*Inputs!$F$39*C31</f>
        <v>0</v>
      </c>
      <c r="D36" s="24" t="n">
        <f aca="false">(D14-D7)*Inputs!$F$38*D31+D7*Inputs!$F$39*D31</f>
        <v>144</v>
      </c>
      <c r="E36" s="24" t="n">
        <f aca="false">(E14-E7)*Inputs!$F$38*E31+E7*Inputs!$F$39*E31</f>
        <v>4420</v>
      </c>
      <c r="F36" s="24" t="n">
        <f aca="false">(F14-F7)*Inputs!$F$38*F31+F7*Inputs!$F$39*F31</f>
        <v>22733.6</v>
      </c>
      <c r="G36" s="24" t="n">
        <f aca="false">(G14-G7)*Inputs!$F$38*G31+G7*Inputs!$F$39*G31</f>
        <v>65053.568</v>
      </c>
      <c r="H36" s="24" t="n">
        <f aca="false">SUM(C36:G36)</f>
        <v>92351.168</v>
      </c>
    </row>
    <row r="37" customFormat="false" ht="15" hidden="false" customHeight="false" outlineLevel="0" collapsed="false">
      <c r="A37" s="12" t="s">
        <v>401</v>
      </c>
      <c r="B37" s="10" t="s">
        <v>194</v>
      </c>
      <c r="C37" s="24" t="n">
        <f aca="false">C18*Inputs!$F$37*C31+C20*Inputs!$F$37*Inputs!$F$56</f>
        <v>0</v>
      </c>
      <c r="D37" s="24" t="n">
        <f aca="false">D18*Inputs!$F$37*D31+D20*Inputs!$F$37*Inputs!$F$56</f>
        <v>1877.4</v>
      </c>
      <c r="E37" s="24" t="n">
        <f aca="false">E18*Inputs!$F$37*E31+E20*Inputs!$F$37*Inputs!$F$56</f>
        <v>57625.75</v>
      </c>
      <c r="F37" s="24" t="n">
        <f aca="false">F18*Inputs!$F$37*F31+F20*Inputs!$F$37*Inputs!$F$56</f>
        <v>379405.8818</v>
      </c>
      <c r="G37" s="24" t="n">
        <f aca="false">G18*Inputs!$F$37*G31+G20*Inputs!$F$37*Inputs!$F$56</f>
        <v>1061622.677984</v>
      </c>
      <c r="H37" s="24" t="n">
        <f aca="false">SUM(C37:G37)</f>
        <v>1500531.709784</v>
      </c>
    </row>
    <row r="38" customFormat="false" ht="15" hidden="false" customHeight="false" outlineLevel="0" collapsed="false">
      <c r="A38" s="12" t="s">
        <v>402</v>
      </c>
      <c r="B38" s="10" t="s">
        <v>194</v>
      </c>
      <c r="C38" s="24" t="n">
        <f aca="false">C25*Inputs!$F$40*12</f>
        <v>0</v>
      </c>
      <c r="D38" s="24" t="n">
        <f aca="false">D25*Inputs!$F$40*12</f>
        <v>178.2</v>
      </c>
      <c r="E38" s="24" t="n">
        <f aca="false">E25*Inputs!$F$40*12</f>
        <v>3638.25</v>
      </c>
      <c r="F38" s="24" t="n">
        <f aca="false">F25*Inputs!$F$40*12</f>
        <v>6920.1</v>
      </c>
      <c r="G38" s="24" t="n">
        <f aca="false">G25*Inputs!$F$40*12</f>
        <v>6920.1</v>
      </c>
      <c r="H38" s="24" t="n">
        <f aca="false">SUM(C38:G38)</f>
        <v>17656.65</v>
      </c>
    </row>
    <row r="39" customFormat="false" ht="15" hidden="false" customHeight="false" outlineLevel="0" collapsed="false">
      <c r="A39" s="12" t="s">
        <v>403</v>
      </c>
      <c r="B39" s="10" t="s">
        <v>194</v>
      </c>
      <c r="C39" s="24" t="n">
        <f aca="false">C23*Inputs!$F$51*Inputs!$F$42+C27*Inputs!$F$57*12</f>
        <v>0</v>
      </c>
      <c r="D39" s="24" t="n">
        <f aca="false">D23*Inputs!$F$51*Inputs!$F$42+D27*Inputs!$F$57*12</f>
        <v>35.28</v>
      </c>
      <c r="E39" s="24" t="n">
        <f aca="false">E23*Inputs!$F$51*Inputs!$F$42+E27*Inputs!$F$57*12</f>
        <v>720.3</v>
      </c>
      <c r="F39" s="24" t="n">
        <f aca="false">F23*Inputs!$F$51*Inputs!$F$42+F27*Inputs!$F$57*12</f>
        <v>8217.7248</v>
      </c>
      <c r="G39" s="24" t="n">
        <f aca="false">G23*Inputs!$F$51*Inputs!$F$42+G27*Inputs!$F$57*12</f>
        <v>34226.044224</v>
      </c>
      <c r="H39" s="24" t="n">
        <f aca="false">SUM(C39:G39)</f>
        <v>43199.349024</v>
      </c>
    </row>
    <row r="40" customFormat="false" ht="15" hidden="false" customHeight="false" outlineLevel="0" collapsed="false">
      <c r="A40" s="12" t="s">
        <v>404</v>
      </c>
      <c r="B40" s="10" t="s">
        <v>194</v>
      </c>
      <c r="C40" s="24" t="n">
        <f aca="false">C23*Inputs!$F$50*C32+(C25+C27)*Inputs!$F$50*C33</f>
        <v>0</v>
      </c>
      <c r="D40" s="24" t="n">
        <f aca="false">D23*Inputs!$F$50*D32+(D25+D27)*Inputs!$F$50*D33</f>
        <v>32.13</v>
      </c>
      <c r="E40" s="24" t="n">
        <f aca="false">E23*Inputs!$F$50*E32+(E25+E27)*Inputs!$F$50*E33</f>
        <v>655.9875</v>
      </c>
      <c r="F40" s="24" t="n">
        <f aca="false">F23*Inputs!$F$50*F32+(F25+F27)*Inputs!$F$50*F33</f>
        <v>3876.16005</v>
      </c>
      <c r="G40" s="24" t="n">
        <f aca="false">G23*Inputs!$F$50*G32+(G25+G27)*Inputs!$F$50*G33</f>
        <v>13859.306244</v>
      </c>
      <c r="H40" s="24" t="n">
        <f aca="false">SUM(C40:G40)</f>
        <v>18423.583794</v>
      </c>
    </row>
    <row r="41" customFormat="false" ht="15" hidden="false" customHeight="false" outlineLevel="0" collapsed="false">
      <c r="A41" s="12" t="s">
        <v>405</v>
      </c>
      <c r="B41" s="10" t="s">
        <v>194</v>
      </c>
      <c r="C41" s="24" t="n">
        <f aca="false">0*Inputs!$F$53*Inputs!$F$52+0*Inputs!$F$55*Inputs!$F$54</f>
        <v>0</v>
      </c>
      <c r="D41" s="24" t="n">
        <f aca="false">C14*Inputs!$F$53*Inputs!$F$52+0*Inputs!$F$55*Inputs!$F$54</f>
        <v>0</v>
      </c>
      <c r="E41" s="24" t="n">
        <f aca="false">D14*Inputs!$F$53*Inputs!$F$52+C14*Inputs!$F$55*Inputs!$F$54</f>
        <v>36</v>
      </c>
      <c r="F41" s="24" t="n">
        <f aca="false">E14*Inputs!$F$53*Inputs!$F$52+D14*Inputs!$F$55*Inputs!$F$54</f>
        <v>723</v>
      </c>
      <c r="G41" s="24" t="n">
        <f aca="false">F14*Inputs!$F$53*Inputs!$F$52+E14*Inputs!$F$55*Inputs!$F$54</f>
        <v>4335.04</v>
      </c>
      <c r="H41" s="24" t="n">
        <f aca="false">SUM(C41:G41)</f>
        <v>5094.04</v>
      </c>
    </row>
    <row r="42" customFormat="false" ht="15" hidden="false" customHeight="false" outlineLevel="0" collapsed="false">
      <c r="A42" s="25" t="s">
        <v>406</v>
      </c>
      <c r="B42" s="10" t="s">
        <v>194</v>
      </c>
      <c r="C42" s="24" t="n">
        <f aca="false">SUM(C35:C41)</f>
        <v>0</v>
      </c>
      <c r="D42" s="24" t="n">
        <f aca="false">SUM(D35:D41)</f>
        <v>3077.01</v>
      </c>
      <c r="E42" s="24" t="n">
        <f aca="false">SUM(E35:E41)</f>
        <v>96346.2875</v>
      </c>
      <c r="F42" s="24" t="n">
        <f aca="false">SUM(F35:F41)</f>
        <v>552376.46665</v>
      </c>
      <c r="G42" s="24" t="n">
        <f aca="false">SUM(G35:G41)</f>
        <v>1547756.736452</v>
      </c>
      <c r="H42" s="24" t="n">
        <f aca="false">SUM(C42:G42)</f>
        <v>2199556.500602</v>
      </c>
    </row>
    <row r="43" customFormat="false" ht="15" hidden="false" customHeight="false" outlineLevel="0" collapsed="false">
      <c r="A43" s="15" t="s">
        <v>407</v>
      </c>
      <c r="B43" s="16"/>
      <c r="C43" s="16"/>
      <c r="D43" s="16"/>
      <c r="E43" s="16"/>
      <c r="F43" s="16"/>
      <c r="G43" s="16"/>
      <c r="H43" s="16"/>
    </row>
    <row r="44" customFormat="false" ht="15" hidden="false" customHeight="false" outlineLevel="0" collapsed="false">
      <c r="A44" s="12" t="s">
        <v>293</v>
      </c>
      <c r="B44" s="12" t="s">
        <v>33</v>
      </c>
      <c r="C44" s="13" t="n">
        <f aca="false">Inputs_Yearly!$E$10</f>
        <v>0.4</v>
      </c>
      <c r="D44" s="13" t="n">
        <f aca="false">Inputs_Yearly!$F$10</f>
        <v>0.55</v>
      </c>
      <c r="E44" s="13" t="n">
        <f aca="false">Inputs_Yearly!$G$10</f>
        <v>0.7</v>
      </c>
      <c r="F44" s="13" t="n">
        <f aca="false">Inputs_Yearly!$H$10</f>
        <v>0.8</v>
      </c>
      <c r="G44" s="13" t="n">
        <f aca="false">Inputs_Yearly!$I$10</f>
        <v>0.85</v>
      </c>
    </row>
    <row r="45" customFormat="false" ht="15" hidden="false" customHeight="false" outlineLevel="0" collapsed="false">
      <c r="A45" s="12" t="s">
        <v>408</v>
      </c>
      <c r="B45" s="10" t="s">
        <v>194</v>
      </c>
      <c r="C45" s="14" t="n">
        <f aca="false">Inputs!$F$59*(C44+Inputs!$F$60*(1-C44))+Inputs!$F$61*(1-C44)</f>
        <v>332</v>
      </c>
      <c r="D45" s="14" t="n">
        <f aca="false">Inputs!$F$59*(D44+Inputs!$F$60*(1-D44))+Inputs!$F$61*(1-D44)</f>
        <v>299</v>
      </c>
      <c r="E45" s="14" t="n">
        <f aca="false">Inputs!$F$59*(E44+Inputs!$F$60*(1-E44))+Inputs!$F$61*(1-E44)</f>
        <v>266</v>
      </c>
      <c r="F45" s="14" t="n">
        <f aca="false">Inputs!$F$59*(F44+Inputs!$F$60*(1-F44))+Inputs!$F$61*(1-F44)</f>
        <v>244</v>
      </c>
      <c r="G45" s="14" t="n">
        <f aca="false">Inputs!$F$59*(G44+Inputs!$F$60*(1-G44))+Inputs!$F$61*(1-G44)</f>
        <v>233</v>
      </c>
    </row>
    <row r="46" customFormat="false" ht="15" hidden="false" customHeight="false" outlineLevel="0" collapsed="false">
      <c r="A46" s="12" t="s">
        <v>409</v>
      </c>
      <c r="B46" s="10" t="s">
        <v>194</v>
      </c>
      <c r="C46" s="14" t="n">
        <f aca="false">Inputs_Yearly!$E$14</f>
        <v>1680</v>
      </c>
      <c r="D46" s="14" t="n">
        <f aca="false">Inputs_Yearly!$F$14</f>
        <v>1460</v>
      </c>
      <c r="E46" s="14" t="n">
        <f aca="false">Inputs_Yearly!$G$14</f>
        <v>1100</v>
      </c>
      <c r="F46" s="14" t="n">
        <f aca="false">Inputs_Yearly!$H$14</f>
        <v>950</v>
      </c>
      <c r="G46" s="14" t="n">
        <f aca="false">Inputs_Yearly!$I$14</f>
        <v>820</v>
      </c>
    </row>
    <row r="47" customFormat="false" ht="15" hidden="false" customHeight="false" outlineLevel="0" collapsed="false">
      <c r="A47" s="12" t="s">
        <v>410</v>
      </c>
      <c r="B47" s="10" t="s">
        <v>194</v>
      </c>
      <c r="C47" s="14" t="n">
        <f aca="false">Inputs_Yearly!$E$26*Inputs_Yearly!$E$30+Inputs!$F$66*Inputs!$F$67+Inputs!$F$68</f>
        <v>43</v>
      </c>
      <c r="D47" s="14" t="n">
        <f aca="false">Inputs_Yearly!$F$26*Inputs_Yearly!$F$30+Inputs!$F$66*Inputs!$F$67+Inputs!$F$68</f>
        <v>37</v>
      </c>
      <c r="E47" s="14" t="n">
        <f aca="false">Inputs_Yearly!$G$26*Inputs_Yearly!$G$30+Inputs!$F$66*Inputs!$F$67+Inputs!$F$68</f>
        <v>28</v>
      </c>
      <c r="F47" s="14" t="n">
        <f aca="false">Inputs_Yearly!$H$26*Inputs_Yearly!$H$30+Inputs!$F$66*Inputs!$F$67+Inputs!$F$68</f>
        <v>22.6</v>
      </c>
      <c r="G47" s="14" t="n">
        <f aca="false">Inputs_Yearly!$I$26*Inputs_Yearly!$I$30+Inputs!$F$66*Inputs!$F$67+Inputs!$F$68</f>
        <v>20</v>
      </c>
    </row>
    <row r="48" customFormat="false" ht="15" hidden="false" customHeight="false" outlineLevel="0" collapsed="false">
      <c r="A48" s="12" t="s">
        <v>411</v>
      </c>
      <c r="B48" s="10" t="s">
        <v>194</v>
      </c>
      <c r="C48" s="24" t="n">
        <f aca="false">(C5+C6)*C45+C8*Inputs!$F$62+C7*Inputs!$F$63</f>
        <v>0</v>
      </c>
      <c r="D48" s="24" t="n">
        <f aca="false">(D5+D6)*D45+D8*Inputs!$F$62+D7*Inputs!$F$63</f>
        <v>897</v>
      </c>
      <c r="E48" s="24" t="n">
        <f aca="false">(E5+E6)*E45+E8*Inputs!$F$62+E7*Inputs!$F$63</f>
        <v>17290</v>
      </c>
      <c r="F48" s="24" t="n">
        <f aca="false">(F5+F6)*F45+F8*Inputs!$F$62+F7*Inputs!$F$63</f>
        <v>70420</v>
      </c>
      <c r="G48" s="24" t="n">
        <f aca="false">(G5+G6)*G45+G8*Inputs!$F$62+G7*Inputs!$F$63</f>
        <v>187550</v>
      </c>
      <c r="H48" s="24" t="n">
        <f aca="false">SUM(C48:G48)</f>
        <v>276157</v>
      </c>
    </row>
    <row r="49" customFormat="false" ht="15" hidden="false" customHeight="false" outlineLevel="0" collapsed="false">
      <c r="A49" s="10" t="s">
        <v>412</v>
      </c>
      <c r="B49" s="10" t="s">
        <v>194</v>
      </c>
      <c r="C49" s="24" t="n">
        <f aca="false">(C5+C6+C8+C7)*Inputs!$F$64</f>
        <v>0</v>
      </c>
      <c r="D49" s="24" t="n">
        <f aca="false">(D5+D6+D8+D7)*Inputs!$F$64</f>
        <v>75</v>
      </c>
      <c r="E49" s="24" t="n">
        <f aca="false">(E5+E6+E8+E7)*Inputs!$F$64</f>
        <v>1625</v>
      </c>
      <c r="F49" s="24" t="n">
        <f aca="false">(F5+F6+F8+F7)*Inputs!$F$64</f>
        <v>7750</v>
      </c>
      <c r="G49" s="24" t="n">
        <f aca="false">(G5+G6+G8+G7)*Inputs!$F$64</f>
        <v>24550</v>
      </c>
      <c r="H49" s="24" t="n">
        <f aca="false">SUM(C49:G49)</f>
        <v>34000</v>
      </c>
    </row>
    <row r="50" customFormat="false" ht="15" hidden="false" customHeight="false" outlineLevel="0" collapsed="false">
      <c r="A50" s="12" t="s">
        <v>413</v>
      </c>
      <c r="B50" s="10" t="s">
        <v>194</v>
      </c>
      <c r="C50" s="24" t="n">
        <f aca="false">(C18+C20)*C46</f>
        <v>0</v>
      </c>
      <c r="D50" s="24" t="n">
        <f aca="false">(D18+D20)*D46</f>
        <v>3066</v>
      </c>
      <c r="E50" s="24" t="n">
        <f aca="false">(E18+E20)*E46</f>
        <v>42542.5</v>
      </c>
      <c r="F50" s="24" t="n">
        <f aca="false">(F18+F20)*F46</f>
        <v>255711.5</v>
      </c>
      <c r="G50" s="24" t="n">
        <f aca="false">(G18+G20)*G46</f>
        <v>617599.072</v>
      </c>
      <c r="H50" s="24" t="n">
        <f aca="false">SUM(C50:G50)</f>
        <v>918919.072</v>
      </c>
    </row>
    <row r="51" customFormat="false" ht="15" hidden="false" customHeight="false" outlineLevel="0" collapsed="false">
      <c r="A51" s="12" t="s">
        <v>414</v>
      </c>
      <c r="B51" s="10" t="s">
        <v>194</v>
      </c>
      <c r="C51" s="24" t="n">
        <f aca="false">(C14-C7)*Inputs_Yearly!$E$18+C7*Inputs_Yearly!$E$22</f>
        <v>0</v>
      </c>
      <c r="D51" s="24" t="n">
        <f aca="false">(D14-D7)*Inputs_Yearly!$F$18+D7*Inputs_Yearly!$F$22</f>
        <v>255</v>
      </c>
      <c r="E51" s="24" t="n">
        <f aca="false">(E14-E7)*Inputs_Yearly!$G$18+E7*Inputs_Yearly!$G$22</f>
        <v>2873</v>
      </c>
      <c r="F51" s="24" t="n">
        <f aca="false">(F14-F7)*Inputs_Yearly!$H$18+F7*Inputs_Yearly!$H$22</f>
        <v>11038.46</v>
      </c>
      <c r="G51" s="24" t="n">
        <f aca="false">(G14-G7)*Inputs_Yearly!$I$18+G7*Inputs_Yearly!$I$22</f>
        <v>25235.088</v>
      </c>
      <c r="H51" s="24" t="n">
        <f aca="false">SUM(C51:G51)</f>
        <v>39401.548</v>
      </c>
    </row>
    <row r="52" customFormat="false" ht="15" hidden="false" customHeight="false" outlineLevel="0" collapsed="false">
      <c r="A52" s="12" t="s">
        <v>415</v>
      </c>
      <c r="B52" s="10" t="s">
        <v>194</v>
      </c>
      <c r="C52" s="14" t="n">
        <f aca="false">Inputs!$F$65*C37</f>
        <v>0</v>
      </c>
      <c r="D52" s="14" t="n">
        <f aca="false">Inputs!$F$65*D37</f>
        <v>65.709</v>
      </c>
      <c r="E52" s="14" t="n">
        <f aca="false">Inputs!$F$65*E37</f>
        <v>2016.90125</v>
      </c>
      <c r="F52" s="14" t="n">
        <f aca="false">Inputs!$F$65*F37</f>
        <v>13279.205863</v>
      </c>
      <c r="G52" s="14" t="n">
        <f aca="false">Inputs!$F$65*G37</f>
        <v>37156.79372944</v>
      </c>
      <c r="H52" s="24" t="n">
        <f aca="false">SUM(C52:G52)</f>
        <v>52518.60984244</v>
      </c>
    </row>
    <row r="53" customFormat="false" ht="15" hidden="false" customHeight="false" outlineLevel="0" collapsed="false">
      <c r="A53" s="12" t="s">
        <v>416</v>
      </c>
      <c r="B53" s="10" t="s">
        <v>194</v>
      </c>
      <c r="C53" s="24" t="n">
        <f aca="false">C19*C46</f>
        <v>0</v>
      </c>
      <c r="D53" s="24" t="n">
        <f aca="false">D19*D46</f>
        <v>1314</v>
      </c>
      <c r="E53" s="24" t="n">
        <f aca="false">E19*E46</f>
        <v>18232.5</v>
      </c>
      <c r="F53" s="24" t="n">
        <f aca="false">F19*F46</f>
        <v>0</v>
      </c>
      <c r="G53" s="24" t="n">
        <f aca="false">G19*G46</f>
        <v>0</v>
      </c>
      <c r="H53" s="24" t="n">
        <f aca="false">SUM(C53:G53)</f>
        <v>19546.5</v>
      </c>
    </row>
    <row r="54" customFormat="false" ht="15" hidden="false" customHeight="false" outlineLevel="0" collapsed="false">
      <c r="A54" s="12" t="s">
        <v>417</v>
      </c>
      <c r="B54" s="10" t="s">
        <v>194</v>
      </c>
      <c r="C54" s="24" t="n">
        <f aca="false">0+C53</f>
        <v>0</v>
      </c>
      <c r="D54" s="24" t="n">
        <f aca="false">C54+D53</f>
        <v>1314</v>
      </c>
      <c r="E54" s="24" t="n">
        <f aca="false">D54+E53</f>
        <v>19546.5</v>
      </c>
      <c r="F54" s="24" t="n">
        <f aca="false">E54+F53</f>
        <v>19546.5</v>
      </c>
      <c r="G54" s="24" t="n">
        <f aca="false">F54+G53</f>
        <v>19546.5</v>
      </c>
    </row>
    <row r="55" customFormat="false" ht="15" hidden="false" customHeight="false" outlineLevel="0" collapsed="false">
      <c r="A55" s="12" t="s">
        <v>418</v>
      </c>
      <c r="B55" s="10" t="s">
        <v>194</v>
      </c>
      <c r="C55" s="24" t="n">
        <f aca="false">0*(1-Inputs!$F$75)/5+C53*(1-Inputs!$F$75)/5*0.5</f>
        <v>0</v>
      </c>
      <c r="D55" s="24" t="n">
        <f aca="false">C54*(1-Inputs!$F$75)/5+D53*(1-Inputs!$F$75)/5*0.5</f>
        <v>111.69</v>
      </c>
      <c r="E55" s="24" t="n">
        <f aca="false">D54*(1-Inputs!$F$75)/5+E53*(1-Inputs!$F$75)/5*0.5</f>
        <v>1773.1425</v>
      </c>
      <c r="F55" s="24" t="n">
        <f aca="false">E54*(1-Inputs!$F$75)/5+F53*(1-Inputs!$F$75)/5*0.5</f>
        <v>3322.905</v>
      </c>
      <c r="G55" s="24" t="n">
        <f aca="false">F54*(1-Inputs!$F$75)/5+G53*(1-Inputs!$F$75)/5*0.5</f>
        <v>3322.905</v>
      </c>
      <c r="H55" s="24" t="n">
        <f aca="false">SUM(C55:G55)</f>
        <v>8530.6425</v>
      </c>
    </row>
    <row r="56" customFormat="false" ht="15" hidden="false" customHeight="false" outlineLevel="0" collapsed="false">
      <c r="A56" s="12" t="s">
        <v>419</v>
      </c>
      <c r="B56" s="10" t="s">
        <v>194</v>
      </c>
      <c r="C56" s="24" t="n">
        <f aca="false">(C23*Inputs!$F$51+C25+C27)*C47</f>
        <v>0</v>
      </c>
      <c r="D56" s="24" t="n">
        <f aca="false">(D23*Inputs!$F$51+D25+D27)*D47</f>
        <v>43.845</v>
      </c>
      <c r="E56" s="24" t="n">
        <f aca="false">(E23*Inputs!$F$51+E25+E27)*E47</f>
        <v>677.425</v>
      </c>
      <c r="F56" s="24" t="n">
        <f aca="false">(F23*Inputs!$F$51+F25+F27)*F47</f>
        <v>3579.749035</v>
      </c>
      <c r="G56" s="24" t="n">
        <f aca="false">(G23*Inputs!$F$51+G25+G27)*G47</f>
        <v>11704.45516</v>
      </c>
      <c r="H56" s="24" t="n">
        <f aca="false">SUM(C56:G56)</f>
        <v>16005.474195</v>
      </c>
    </row>
    <row r="57" customFormat="false" ht="15" hidden="false" customHeight="false" outlineLevel="0" collapsed="false">
      <c r="A57" s="12" t="s">
        <v>420</v>
      </c>
      <c r="B57" s="10" t="s">
        <v>194</v>
      </c>
      <c r="C57" s="24" t="n">
        <f aca="false">C40*Inputs!$F$69+(C25+C27)*C34*Inputs!$F$69</f>
        <v>0</v>
      </c>
      <c r="D57" s="24" t="n">
        <f aca="false">D40*Inputs!$F$69+(D25+D27)*D34*Inputs!$F$69</f>
        <v>12.8736</v>
      </c>
      <c r="E57" s="24" t="n">
        <f aca="false">E40*Inputs!$F$69+(E25+E27)*E34*Inputs!$F$69</f>
        <v>262.836</v>
      </c>
      <c r="F57" s="24" t="n">
        <f aca="false">F40*Inputs!$F$69+(F25+F27)*F34*Inputs!$F$69</f>
        <v>1689.871536</v>
      </c>
      <c r="G57" s="24" t="n">
        <f aca="false">G40*Inputs!$F$69+(G25+G27)*G34*Inputs!$F$69</f>
        <v>6209.43043968</v>
      </c>
      <c r="H57" s="24" t="n">
        <f aca="false">SUM(C57:G57)</f>
        <v>8175.01157568</v>
      </c>
    </row>
    <row r="58" customFormat="false" ht="15" hidden="false" customHeight="false" outlineLevel="0" collapsed="false">
      <c r="A58" s="12" t="s">
        <v>421</v>
      </c>
      <c r="B58" s="10" t="s">
        <v>194</v>
      </c>
      <c r="C58" s="24" t="n">
        <f aca="false">0*Inputs!$F$53*Inputs!$F$52*Inputs!$F$70+0*Inputs!$F$55*Inputs!$F$54*Inputs!$F$71</f>
        <v>0</v>
      </c>
      <c r="D58" s="24" t="n">
        <f aca="false">C14*Inputs!$F$53*Inputs!$F$52*Inputs!$F$70+0*Inputs!$F$55*Inputs!$F$54*Inputs!$F$71</f>
        <v>0</v>
      </c>
      <c r="E58" s="24" t="n">
        <f aca="false">D14*Inputs!$F$53*Inputs!$F$52*Inputs!$F$70+C14*Inputs!$F$55*Inputs!$F$54*Inputs!$F$71</f>
        <v>3.6</v>
      </c>
      <c r="F58" s="24" t="n">
        <f aca="false">E14*Inputs!$F$53*Inputs!$F$52*Inputs!$F$70+D14*Inputs!$F$55*Inputs!$F$54*Inputs!$F$71</f>
        <v>93.3</v>
      </c>
      <c r="G58" s="24" t="n">
        <f aca="false">F14*Inputs!$F$53*Inputs!$F$52*Inputs!$F$70+E14*Inputs!$F$55*Inputs!$F$54*Inputs!$F$71</f>
        <v>820.254</v>
      </c>
      <c r="H58" s="24" t="n">
        <f aca="false">SUM(C58:G58)</f>
        <v>917.154</v>
      </c>
    </row>
    <row r="59" customFormat="false" ht="15" hidden="false" customHeight="false" outlineLevel="0" collapsed="false">
      <c r="A59" s="12" t="s">
        <v>422</v>
      </c>
      <c r="B59" s="10" t="s">
        <v>194</v>
      </c>
      <c r="C59" s="24" t="n">
        <f aca="false">C48+C49+C50+C51+C52+C55+C56+C57+C58</f>
        <v>0</v>
      </c>
      <c r="D59" s="24" t="n">
        <f aca="false">D48+D49+D50+D51+D52+D55+D56+D57+D58</f>
        <v>4527.1176</v>
      </c>
      <c r="E59" s="24" t="n">
        <f aca="false">E48+E49+E50+E51+E52+E55+E56+E57+E58</f>
        <v>69064.40475</v>
      </c>
      <c r="F59" s="24" t="n">
        <f aca="false">F48+F49+F50+F51+F52+F55+F56+F57+F58</f>
        <v>366884.991434</v>
      </c>
      <c r="G59" s="24" t="n">
        <f aca="false">G48+G49+G50+G51+G52+G55+G56+G57+G58</f>
        <v>914147.99832912</v>
      </c>
      <c r="H59" s="24" t="n">
        <f aca="false">SUM(C59:G59)</f>
        <v>1354624.51211312</v>
      </c>
    </row>
    <row r="60" customFormat="false" ht="15" hidden="false" customHeight="false" outlineLevel="0" collapsed="false">
      <c r="A60" s="25" t="s">
        <v>31</v>
      </c>
      <c r="B60" s="10" t="s">
        <v>194</v>
      </c>
      <c r="C60" s="24" t="n">
        <f aca="false">C42-C59</f>
        <v>0</v>
      </c>
      <c r="D60" s="24" t="n">
        <f aca="false">D42-D59</f>
        <v>-1450.1076</v>
      </c>
      <c r="E60" s="24" t="n">
        <f aca="false">E42-E59</f>
        <v>27281.88275</v>
      </c>
      <c r="F60" s="24" t="n">
        <f aca="false">F42-F59</f>
        <v>185491.475216</v>
      </c>
      <c r="G60" s="24" t="n">
        <f aca="false">G42-G59</f>
        <v>633608.73812288</v>
      </c>
      <c r="H60" s="24" t="n">
        <f aca="false">SUM(C60:G60)</f>
        <v>844931.98848888</v>
      </c>
    </row>
    <row r="61" customFormat="false" ht="15" hidden="false" customHeight="false" outlineLevel="0" collapsed="false">
      <c r="A61" s="10" t="s">
        <v>32</v>
      </c>
      <c r="B61" s="12" t="s">
        <v>33</v>
      </c>
      <c r="C61" s="26" t="n">
        <f aca="false">IF(C42=0,0,C60/C42)</f>
        <v>0</v>
      </c>
      <c r="D61" s="26" t="n">
        <f aca="false">IF(D42=0,0,D60/D42)</f>
        <v>-0.471271656575702</v>
      </c>
      <c r="E61" s="26" t="n">
        <f aca="false">IF(E42=0,0,E60/E42)</f>
        <v>0.283164857286276</v>
      </c>
      <c r="F61" s="26" t="n">
        <f aca="false">IF(F42=0,0,F60/F42)</f>
        <v>0.335806259707172</v>
      </c>
      <c r="G61" s="26" t="n">
        <f aca="false">IF(G42=0,0,G60/G42)</f>
        <v>0.409372301990643</v>
      </c>
    </row>
    <row r="62" customFormat="false" ht="15" hidden="false" customHeight="false" outlineLevel="0" collapsed="false">
      <c r="A62" s="15" t="s">
        <v>423</v>
      </c>
      <c r="B62" s="16"/>
      <c r="C62" s="16"/>
      <c r="D62" s="16"/>
      <c r="E62" s="16"/>
      <c r="F62" s="16"/>
      <c r="G62" s="16"/>
      <c r="H62" s="16"/>
    </row>
    <row r="63" customFormat="false" ht="15" hidden="false" customHeight="false" outlineLevel="0" collapsed="false">
      <c r="A63" s="12" t="s">
        <v>424</v>
      </c>
      <c r="B63" s="10" t="s">
        <v>194</v>
      </c>
      <c r="C63" s="14" t="n">
        <f aca="false">Inputs!$F$72*(C6*(Inputs!$F$34*C31+C10*(Inputs!$F$37+Inputs!$F$38)*C31)+C7*(Inputs!$F$36+Inputs!$F$37+Inputs!$F$39)*C31)</f>
        <v>0</v>
      </c>
      <c r="D63" s="14" t="n">
        <f aca="false">Inputs!$F$72*(D6*(Inputs!$F$34*D31+D10*(Inputs!$F$37+Inputs!$F$38)*D31)+D7*(Inputs!$F$36+Inputs!$F$37+Inputs!$F$39)*D31)</f>
        <v>0</v>
      </c>
      <c r="E63" s="14" t="n">
        <f aca="false">Inputs!$F$72*(E6*(Inputs!$F$34*E31+E10*(Inputs!$F$37+Inputs!$F$38)*E31)+E7*(Inputs!$F$36+Inputs!$F$37+Inputs!$F$39)*E31)</f>
        <v>4818.15</v>
      </c>
      <c r="F63" s="14" t="n">
        <f aca="false">Inputs!$F$72*(F6*(Inputs!$F$34*F31+F10*(Inputs!$F$37+Inputs!$F$38)*F31)+F7*(Inputs!$F$36+Inputs!$F$37+Inputs!$F$39)*F31)</f>
        <v>40085.1</v>
      </c>
      <c r="G63" s="14" t="n">
        <f aca="false">Inputs!$F$72*(G6*(Inputs!$F$34*G31+G10*(Inputs!$F$37+Inputs!$F$38)*G31)+G7*(Inputs!$F$36+Inputs!$F$37+Inputs!$F$39)*G31)</f>
        <v>115371</v>
      </c>
      <c r="H63" s="24" t="n">
        <f aca="false">SUM(C63:G63)</f>
        <v>160274.25</v>
      </c>
    </row>
    <row r="64" customFormat="false" ht="15" hidden="false" customHeight="false" outlineLevel="0" collapsed="false">
      <c r="A64" s="10" t="s">
        <v>425</v>
      </c>
      <c r="B64" s="10" t="s">
        <v>194</v>
      </c>
      <c r="C64" s="24" t="n">
        <f aca="false">C5*Inputs!$F$73</f>
        <v>0</v>
      </c>
      <c r="D64" s="24" t="n">
        <f aca="false">D5*Inputs!$F$73</f>
        <v>420</v>
      </c>
      <c r="E64" s="24" t="n">
        <f aca="false">E5*Inputs!$F$73</f>
        <v>4900</v>
      </c>
      <c r="F64" s="24" t="n">
        <f aca="false">F5*Inputs!$F$73</f>
        <v>8400</v>
      </c>
      <c r="G64" s="24" t="n">
        <f aca="false">G5*Inputs!$F$73</f>
        <v>9800</v>
      </c>
      <c r="H64" s="24" t="n">
        <f aca="false">SUM(C64:G64)</f>
        <v>23520</v>
      </c>
    </row>
    <row r="65" customFormat="false" ht="15" hidden="false" customHeight="false" outlineLevel="0" collapsed="false">
      <c r="A65" s="10" t="s">
        <v>426</v>
      </c>
      <c r="B65" s="10" t="s">
        <v>194</v>
      </c>
      <c r="C65" s="14" t="n">
        <f aca="false">Inputs_Yearly!$E$58*Inputs!$F$74</f>
        <v>0</v>
      </c>
      <c r="D65" s="14" t="n">
        <f aca="false">Inputs_Yearly!$F$58*Inputs!$F$74</f>
        <v>0</v>
      </c>
      <c r="E65" s="14" t="n">
        <f aca="false">Inputs_Yearly!$G$58*Inputs!$F$74</f>
        <v>4000</v>
      </c>
      <c r="F65" s="14" t="n">
        <f aca="false">Inputs_Yearly!$H$58*Inputs!$F$74</f>
        <v>6000</v>
      </c>
      <c r="G65" s="14" t="n">
        <f aca="false">Inputs_Yearly!$I$58*Inputs!$F$74</f>
        <v>8000</v>
      </c>
      <c r="H65" s="24" t="n">
        <f aca="false">SUM(C65:G65)</f>
        <v>18000</v>
      </c>
    </row>
    <row r="66" customFormat="false" ht="15" hidden="false" customHeight="false" outlineLevel="0" collapsed="false">
      <c r="A66" s="18" t="s">
        <v>427</v>
      </c>
      <c r="B66" s="10" t="s">
        <v>194</v>
      </c>
      <c r="C66" s="24" t="n">
        <f aca="false">C60-C63-C64-C65</f>
        <v>0</v>
      </c>
      <c r="D66" s="24" t="n">
        <f aca="false">D60-D63-D64-D65</f>
        <v>-1870.1076</v>
      </c>
      <c r="E66" s="24" t="n">
        <f aca="false">E60-E63-E64-E65</f>
        <v>13563.73275</v>
      </c>
      <c r="F66" s="24" t="n">
        <f aca="false">F60-F63-F64-F65</f>
        <v>131006.375216</v>
      </c>
      <c r="G66" s="24" t="n">
        <f aca="false">G60-G63-G64-G65</f>
        <v>500437.73812288</v>
      </c>
      <c r="H66" s="24" t="n">
        <f aca="false">SUM(C66:G66)</f>
        <v>643137.73848888</v>
      </c>
    </row>
    <row r="67" customFormat="false" ht="15" hidden="false" customHeight="false" outlineLevel="0" collapsed="false">
      <c r="A67" s="10" t="s">
        <v>428</v>
      </c>
      <c r="B67" s="10" t="s">
        <v>194</v>
      </c>
      <c r="C67" s="14" t="n">
        <f aca="false">Inputs_Yearly!$E$62*Inputs_Yearly!$E$66</f>
        <v>55825</v>
      </c>
      <c r="D67" s="14" t="n">
        <f aca="false">Inputs_Yearly!$F$62*Inputs_Yearly!$F$66</f>
        <v>97050</v>
      </c>
      <c r="E67" s="14" t="n">
        <f aca="false">Inputs_Yearly!$G$62*Inputs_Yearly!$G$66</f>
        <v>170000</v>
      </c>
      <c r="F67" s="14" t="n">
        <f aca="false">Inputs_Yearly!$H$62*Inputs_Yearly!$H$66</f>
        <v>272000</v>
      </c>
      <c r="G67" s="14" t="n">
        <f aca="false">Inputs_Yearly!$I$62*Inputs_Yearly!$I$66</f>
        <v>357000</v>
      </c>
      <c r="H67" s="24" t="n">
        <f aca="false">SUM(C67:G67)</f>
        <v>951875</v>
      </c>
    </row>
    <row r="68" customFormat="false" ht="15" hidden="false" customHeight="false" outlineLevel="0" collapsed="false">
      <c r="A68" s="10" t="s">
        <v>429</v>
      </c>
      <c r="B68" s="10" t="s">
        <v>194</v>
      </c>
      <c r="C68" s="14" t="n">
        <f aca="false">Inputs_Yearly!$E$70+Inputs_Yearly!$E$74+Inputs_Yearly!$E$78+Inputs_Yearly!$E$82+Inputs_Yearly!$E$86+Inputs_Yearly!$E$90+Inputs_Yearly!$E$94+Inputs_Yearly!$E$98+Inputs_Yearly!$E$102+Inputs_Yearly!$E$106+Inputs_Yearly!$E$110+Inputs_Yearly!$E$114</f>
        <v>36342.75</v>
      </c>
      <c r="D68" s="14" t="n">
        <f aca="false">Inputs_Yearly!$F$70+Inputs_Yearly!$F$74+Inputs_Yearly!$F$78+Inputs_Yearly!$F$82+Inputs_Yearly!$F$86+Inputs_Yearly!$F$90+Inputs_Yearly!$F$94+Inputs_Yearly!$F$98+Inputs_Yearly!$F$102+Inputs_Yearly!$F$106+Inputs_Yearly!$F$110+Inputs_Yearly!$F$114</f>
        <v>41116</v>
      </c>
      <c r="E68" s="14" t="n">
        <f aca="false">Inputs_Yearly!$G$70+Inputs_Yearly!$G$74+Inputs_Yearly!$G$78+Inputs_Yearly!$G$82+Inputs_Yearly!$G$86+Inputs_Yearly!$G$90+Inputs_Yearly!$G$94+Inputs_Yearly!$G$98+Inputs_Yearly!$G$102+Inputs_Yearly!$G$106+Inputs_Yearly!$G$110+Inputs_Yearly!$G$114</f>
        <v>135000</v>
      </c>
      <c r="F68" s="14" t="n">
        <f aca="false">Inputs_Yearly!$H$70+Inputs_Yearly!$H$74+Inputs_Yearly!$H$78+Inputs_Yearly!$H$82+Inputs_Yearly!$H$86+Inputs_Yearly!$H$90+Inputs_Yearly!$H$94+Inputs_Yearly!$H$98+Inputs_Yearly!$H$102+Inputs_Yearly!$H$106+Inputs_Yearly!$H$110+Inputs_Yearly!$H$114</f>
        <v>167000</v>
      </c>
      <c r="G68" s="14" t="n">
        <f aca="false">Inputs_Yearly!$I$70+Inputs_Yearly!$I$74+Inputs_Yearly!$I$78+Inputs_Yearly!$I$82+Inputs_Yearly!$I$86+Inputs_Yearly!$I$90+Inputs_Yearly!$I$94+Inputs_Yearly!$I$98+Inputs_Yearly!$I$102+Inputs_Yearly!$I$106+Inputs_Yearly!$I$110+Inputs_Yearly!$I$114</f>
        <v>210000</v>
      </c>
      <c r="H68" s="24" t="n">
        <f aca="false">SUM(C68:G68)</f>
        <v>589458.75</v>
      </c>
    </row>
    <row r="69" customFormat="false" ht="15" hidden="false" customHeight="false" outlineLevel="0" collapsed="false">
      <c r="A69" s="12" t="s">
        <v>430</v>
      </c>
      <c r="B69" s="10" t="s">
        <v>194</v>
      </c>
      <c r="C69" s="24" t="n">
        <f aca="false">C67+C68</f>
        <v>92167.75</v>
      </c>
      <c r="D69" s="24" t="n">
        <f aca="false">D67+D68</f>
        <v>138166</v>
      </c>
      <c r="E69" s="24" t="n">
        <f aca="false">E67+E68</f>
        <v>305000</v>
      </c>
      <c r="F69" s="24" t="n">
        <f aca="false">F67+F68</f>
        <v>439000</v>
      </c>
      <c r="G69" s="24" t="n">
        <f aca="false">G67+G68</f>
        <v>567000</v>
      </c>
      <c r="H69" s="24" t="n">
        <f aca="false">SUM(C69:G69)</f>
        <v>1541333.75</v>
      </c>
    </row>
    <row r="70" customFormat="false" ht="15" hidden="false" customHeight="false" outlineLevel="0" collapsed="false">
      <c r="A70" s="25" t="s">
        <v>431</v>
      </c>
      <c r="B70" s="10" t="s">
        <v>194</v>
      </c>
      <c r="C70" s="24" t="n">
        <f aca="false">C66-C69</f>
        <v>-92167.75</v>
      </c>
      <c r="D70" s="24" t="n">
        <f aca="false">D66-D69</f>
        <v>-140036.1076</v>
      </c>
      <c r="E70" s="24" t="n">
        <f aca="false">E66-E69</f>
        <v>-291436.26725</v>
      </c>
      <c r="F70" s="24" t="n">
        <f aca="false">F66-F69</f>
        <v>-307993.624784</v>
      </c>
      <c r="G70" s="24" t="n">
        <f aca="false">G66-G69</f>
        <v>-66562.2618771198</v>
      </c>
      <c r="H70" s="24" t="n">
        <f aca="false">SUM(C70:G70)</f>
        <v>-898196.01151112</v>
      </c>
    </row>
    <row r="71" customFormat="false" ht="15" hidden="false" customHeight="false" outlineLevel="0" collapsed="false">
      <c r="A71" s="10" t="s">
        <v>432</v>
      </c>
      <c r="B71" s="10" t="s">
        <v>194</v>
      </c>
      <c r="C71" s="24" t="n">
        <f aca="false">C70+C55-C53</f>
        <v>-92167.75</v>
      </c>
      <c r="D71" s="24" t="n">
        <f aca="false">D70+D55-D53</f>
        <v>-141238.4176</v>
      </c>
      <c r="E71" s="24" t="n">
        <f aca="false">E70+E55-E53</f>
        <v>-307895.62475</v>
      </c>
      <c r="F71" s="24" t="n">
        <f aca="false">F70+F55-F53</f>
        <v>-304670.719784</v>
      </c>
      <c r="G71" s="24" t="n">
        <f aca="false">G70+G55-G53</f>
        <v>-63239.3568771198</v>
      </c>
      <c r="H71" s="24" t="n">
        <f aca="false">SUM(C71:G71)</f>
        <v>-909211.86901112</v>
      </c>
    </row>
    <row r="72" customFormat="false" ht="15" hidden="false" customHeight="false" outlineLevel="0" collapsed="false">
      <c r="A72" s="10" t="s">
        <v>37</v>
      </c>
      <c r="B72" s="10" t="s">
        <v>194</v>
      </c>
      <c r="C72" s="24" t="n">
        <f aca="false">0+C71</f>
        <v>-92167.75</v>
      </c>
      <c r="D72" s="24" t="n">
        <f aca="false">C72+D71</f>
        <v>-233406.1676</v>
      </c>
      <c r="E72" s="24" t="n">
        <f aca="false">D72+E71</f>
        <v>-541301.79235</v>
      </c>
      <c r="F72" s="24" t="n">
        <f aca="false">E72+F71</f>
        <v>-845972.512134</v>
      </c>
      <c r="G72" s="24" t="n">
        <f aca="false">F72+G71</f>
        <v>-909211.86901112</v>
      </c>
    </row>
    <row r="73" customFormat="false" ht="15" hidden="false" customHeight="false" outlineLevel="0" collapsed="false">
      <c r="A73" s="15" t="s">
        <v>433</v>
      </c>
      <c r="B73" s="16"/>
      <c r="C73" s="16"/>
      <c r="D73" s="16"/>
      <c r="E73" s="16"/>
      <c r="F73" s="16"/>
      <c r="G73" s="16"/>
      <c r="H73" s="16"/>
    </row>
    <row r="74" customFormat="false" ht="15" hidden="false" customHeight="false" outlineLevel="0" collapsed="false">
      <c r="A74" s="12" t="s">
        <v>434</v>
      </c>
      <c r="B74" s="10" t="s">
        <v>194</v>
      </c>
      <c r="C74" s="24" t="n">
        <f aca="false">C35+C36+C37</f>
        <v>0</v>
      </c>
      <c r="D74" s="24" t="n">
        <f aca="false">D35+D36+D37</f>
        <v>2831.4</v>
      </c>
      <c r="E74" s="24" t="n">
        <f aca="false">E35+E36+E37</f>
        <v>91295.75</v>
      </c>
      <c r="F74" s="24" t="n">
        <f aca="false">F35+F36+F37</f>
        <v>532639.4818</v>
      </c>
      <c r="G74" s="24" t="n">
        <f aca="false">G35+G36+G37</f>
        <v>1488416.245984</v>
      </c>
      <c r="H74" s="24" t="n">
        <f aca="false">SUM(C74:G74)</f>
        <v>2115182.877784</v>
      </c>
    </row>
    <row r="75" customFormat="false" ht="15" hidden="false" customHeight="false" outlineLevel="0" collapsed="false">
      <c r="A75" s="12" t="s">
        <v>435</v>
      </c>
      <c r="B75" s="10" t="s">
        <v>194</v>
      </c>
      <c r="C75" s="24" t="n">
        <f aca="false">C35+C36</f>
        <v>0</v>
      </c>
      <c r="D75" s="24" t="n">
        <f aca="false">D35+D36</f>
        <v>954</v>
      </c>
      <c r="E75" s="24" t="n">
        <f aca="false">E35+E36</f>
        <v>33670</v>
      </c>
      <c r="F75" s="24" t="n">
        <f aca="false">F35+F36</f>
        <v>153233.6</v>
      </c>
      <c r="G75" s="24" t="n">
        <f aca="false">G35+G36</f>
        <v>426793.568</v>
      </c>
      <c r="H75" s="24" t="n">
        <f aca="false">SUM(C75:G75)</f>
        <v>614651.168</v>
      </c>
    </row>
    <row r="76" customFormat="false" ht="15" hidden="false" customHeight="false" outlineLevel="0" collapsed="false">
      <c r="A76" s="12" t="s">
        <v>436</v>
      </c>
      <c r="B76" s="10" t="s">
        <v>194</v>
      </c>
      <c r="C76" s="24" t="n">
        <f aca="false">C38+C39+C40</f>
        <v>0</v>
      </c>
      <c r="D76" s="24" t="n">
        <f aca="false">D38+D39+D40</f>
        <v>245.61</v>
      </c>
      <c r="E76" s="24" t="n">
        <f aca="false">E38+E39+E40</f>
        <v>5014.5375</v>
      </c>
      <c r="F76" s="24" t="n">
        <f aca="false">F38+F39+F40</f>
        <v>19013.98485</v>
      </c>
      <c r="G76" s="24" t="n">
        <f aca="false">G38+G39+G40</f>
        <v>55005.450468</v>
      </c>
      <c r="H76" s="24" t="n">
        <f aca="false">SUM(C76:G76)</f>
        <v>79279.582818</v>
      </c>
    </row>
    <row r="77" customFormat="false" ht="15" hidden="false" customHeight="false" outlineLevel="0" collapsed="false">
      <c r="A77" s="12" t="s">
        <v>437</v>
      </c>
      <c r="B77" s="10" t="s">
        <v>194</v>
      </c>
      <c r="C77" s="24" t="n">
        <f aca="false">C41</f>
        <v>0</v>
      </c>
      <c r="D77" s="24" t="n">
        <f aca="false">D41</f>
        <v>0</v>
      </c>
      <c r="E77" s="24" t="n">
        <f aca="false">E41</f>
        <v>36</v>
      </c>
      <c r="F77" s="24" t="n">
        <f aca="false">F41</f>
        <v>723</v>
      </c>
      <c r="G77" s="24" t="n">
        <f aca="false">G41</f>
        <v>4335.04</v>
      </c>
      <c r="H77" s="24" t="n">
        <f aca="false">SUM(C77:G77)</f>
        <v>5094.04</v>
      </c>
    </row>
    <row r="78" customFormat="false" ht="15" hidden="false" customHeight="false" outlineLevel="0" collapsed="false">
      <c r="A78" s="18" t="s">
        <v>438</v>
      </c>
      <c r="B78" s="12" t="s">
        <v>33</v>
      </c>
      <c r="C78" s="26" t="n">
        <f aca="false">IF(C42=0,0,(C76+C77)/C42)</f>
        <v>0</v>
      </c>
      <c r="D78" s="26" t="n">
        <f aca="false">IF(D42=0,0,(D76+D77)/D42)</f>
        <v>0.0798209950568896</v>
      </c>
      <c r="E78" s="26" t="n">
        <f aca="false">IF(E42=0,0,(E76+E77)/E42)</f>
        <v>0.0524206757836933</v>
      </c>
      <c r="F78" s="26" t="n">
        <f aca="false">IF(F42=0,0,(F76+F77)/F42)</f>
        <v>0.0357310385970984</v>
      </c>
      <c r="G78" s="26" t="n">
        <f aca="false">IF(G42=0,0,(G76+G77)/G42)</f>
        <v>0.0383396751378574</v>
      </c>
    </row>
    <row r="79" customFormat="false" ht="15" hidden="false" customHeight="false" outlineLevel="0" collapsed="false">
      <c r="A79" s="12" t="s">
        <v>439</v>
      </c>
      <c r="B79" s="12" t="s">
        <v>33</v>
      </c>
      <c r="C79" s="26" t="n">
        <f aca="false">IF(C42=0,0,(C37+C76+C41)/C42)</f>
        <v>0</v>
      </c>
      <c r="D79" s="26" t="n">
        <f aca="false">IF(D42=0,0,(D37+D76+D41)/D42)</f>
        <v>0.689958758665068</v>
      </c>
      <c r="E79" s="26" t="n">
        <f aca="false">IF(E42=0,0,(E37+E76+E41)/E42)</f>
        <v>0.650531422915491</v>
      </c>
      <c r="F79" s="26" t="n">
        <f aca="false">IF(F42=0,0,(F37+F76+F41)/F42)</f>
        <v>0.722592092075688</v>
      </c>
      <c r="G79" s="26" t="n">
        <f aca="false">IF(G42=0,0,(G37+G76+G41)/G42)</f>
        <v>0.724250227475436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  <col collapsed="false" customWidth="true" hidden="false" outlineLevel="0" max="8" min="8" style="0" width="44"/>
  </cols>
  <sheetData>
    <row r="1" customFormat="false" ht="19.4" hidden="false" customHeight="false" outlineLevel="0" collapsed="false">
      <c r="A1" s="6" t="s">
        <v>444</v>
      </c>
    </row>
    <row r="2" customFormat="false" ht="15" hidden="false" customHeight="false" outlineLevel="0" collapsed="false">
      <c r="A2" s="7" t="s">
        <v>445</v>
      </c>
    </row>
    <row r="4" customFormat="false" ht="25.35" hidden="false" customHeight="false" outlineLevel="0" collapsed="false">
      <c r="A4" s="9" t="s">
        <v>49</v>
      </c>
      <c r="B4" s="8" t="s">
        <v>446</v>
      </c>
      <c r="C4" s="8" t="s">
        <v>447</v>
      </c>
      <c r="D4" s="8" t="s">
        <v>448</v>
      </c>
      <c r="E4" s="8" t="s">
        <v>449</v>
      </c>
      <c r="F4" s="8" t="s">
        <v>450</v>
      </c>
      <c r="G4" s="8" t="s">
        <v>451</v>
      </c>
      <c r="H4" s="9" t="s">
        <v>452</v>
      </c>
    </row>
    <row r="5" customFormat="false" ht="15" hidden="false" customHeight="false" outlineLevel="0" collapsed="false">
      <c r="A5" s="15" t="s">
        <v>453</v>
      </c>
      <c r="B5" s="16"/>
      <c r="C5" s="16"/>
      <c r="D5" s="16"/>
      <c r="E5" s="16"/>
      <c r="F5" s="16"/>
      <c r="G5" s="16"/>
      <c r="H5" s="16"/>
    </row>
    <row r="6" customFormat="false" ht="15" hidden="false" customHeight="false" outlineLevel="0" collapsed="false">
      <c r="A6" s="12" t="s">
        <v>454</v>
      </c>
      <c r="B6" s="11" t="n">
        <f aca="false">Inputs!$E$34</f>
        <v>450</v>
      </c>
      <c r="C6" s="11" t="n">
        <f aca="false">Inputs!$E$34</f>
        <v>450</v>
      </c>
      <c r="D6" s="11" t="n">
        <f aca="false">Inputs!$E$34</f>
        <v>450</v>
      </c>
      <c r="E6" s="11" t="n">
        <f aca="false">Inputs!$E$34</f>
        <v>450</v>
      </c>
      <c r="F6" s="11" t="n">
        <f aca="false">Inputs!$E$36</f>
        <v>150</v>
      </c>
      <c r="G6" s="11" t="n">
        <f aca="false">Inputs!$E$35</f>
        <v>220</v>
      </c>
    </row>
    <row r="7" customFormat="false" ht="15" hidden="false" customHeight="false" outlineLevel="0" collapsed="false">
      <c r="A7" s="12" t="s">
        <v>455</v>
      </c>
      <c r="B7" s="11" t="n">
        <f aca="false">Inputs!$E$38</f>
        <v>80</v>
      </c>
      <c r="C7" s="11" t="n">
        <f aca="false">Inputs!$E$38</f>
        <v>80</v>
      </c>
      <c r="D7" s="11" t="n">
        <f aca="false">Inputs!$E$38</f>
        <v>80</v>
      </c>
      <c r="E7" s="11" t="n">
        <f aca="false">Inputs!$E$38</f>
        <v>80</v>
      </c>
      <c r="F7" s="11" t="n">
        <f aca="false">Inputs!$E$39</f>
        <v>120</v>
      </c>
      <c r="G7" s="11" t="n">
        <f aca="false">Inputs!$E$38</f>
        <v>80</v>
      </c>
    </row>
    <row r="8" customFormat="false" ht="15" hidden="false" customHeight="false" outlineLevel="0" collapsed="false">
      <c r="A8" s="12" t="s">
        <v>456</v>
      </c>
      <c r="B8" s="11" t="n">
        <f aca="false">Inputs!$E$37</f>
        <v>1490</v>
      </c>
      <c r="C8" s="11" t="n">
        <f aca="false">Inputs!$E$37</f>
        <v>1490</v>
      </c>
      <c r="D8" s="27" t="n">
        <f aca="false">0</f>
        <v>0</v>
      </c>
      <c r="E8" s="27" t="n">
        <f aca="false">0</f>
        <v>0</v>
      </c>
      <c r="F8" s="11" t="n">
        <f aca="false">Inputs!$E$37</f>
        <v>1490</v>
      </c>
      <c r="G8" s="11" t="n">
        <f aca="false">Inputs!$E$37</f>
        <v>1490</v>
      </c>
    </row>
    <row r="9" customFormat="false" ht="15" hidden="false" customHeight="false" outlineLevel="0" collapsed="false">
      <c r="A9" s="12" t="s">
        <v>457</v>
      </c>
      <c r="B9" s="27" t="n">
        <f aca="false">0</f>
        <v>0</v>
      </c>
      <c r="C9" s="27" t="n">
        <f aca="false">0</f>
        <v>0</v>
      </c>
      <c r="D9" s="27" t="n">
        <f aca="false">Inputs!$E$40*Inputs!$E$41</f>
        <v>1980</v>
      </c>
      <c r="E9" s="27" t="n">
        <f aca="false">Inputs!$E$40*Inputs!$E$41</f>
        <v>1980</v>
      </c>
      <c r="F9" s="27" t="n">
        <f aca="false">0</f>
        <v>0</v>
      </c>
      <c r="G9" s="27" t="n">
        <f aca="false">0</f>
        <v>0</v>
      </c>
    </row>
    <row r="10" customFormat="false" ht="15" hidden="false" customHeight="false" outlineLevel="0" collapsed="false">
      <c r="A10" s="12" t="s">
        <v>458</v>
      </c>
      <c r="B10" s="27" t="n">
        <f aca="false">5*Inputs!$E$42</f>
        <v>240</v>
      </c>
      <c r="C10" s="27" t="n">
        <f aca="false">5*Inputs!$E$42</f>
        <v>240</v>
      </c>
      <c r="D10" s="27" t="n">
        <f aca="false">0</f>
        <v>0</v>
      </c>
      <c r="E10" s="27" t="n">
        <f aca="false">0</f>
        <v>0</v>
      </c>
      <c r="F10" s="27" t="n">
        <f aca="false">5*Inputs!$E$42</f>
        <v>240</v>
      </c>
      <c r="G10" s="27" t="n">
        <f aca="false">5*Inputs!$E$42</f>
        <v>240</v>
      </c>
    </row>
    <row r="11" customFormat="false" ht="15" hidden="false" customHeight="false" outlineLevel="0" collapsed="false">
      <c r="A11" s="12" t="s">
        <v>459</v>
      </c>
      <c r="B11" s="27" t="n">
        <f aca="false">5*Inputs!$E$50*(Inputs!$E$44*Inputs!$E$45+Inputs!$E$46*Inputs!$E$47+Inputs!$E$48*Inputs!$E$49)</f>
        <v>126</v>
      </c>
      <c r="C11" s="27" t="n">
        <f aca="false">5*Inputs!$E$50*(Inputs!$E$44*Inputs!$E$45+Inputs!$E$46*Inputs!$E$47+Inputs!$E$48*Inputs!$E$49)</f>
        <v>126</v>
      </c>
      <c r="D11" s="27" t="n">
        <f aca="false">5*Inputs!$E$50*(Inputs!$E$46*Inputs!$E$47+Inputs!$E$48*Inputs!$E$49)</f>
        <v>63</v>
      </c>
      <c r="E11" s="27" t="n">
        <f aca="false">5*Inputs!$E$50*(Inputs!$E$46*Inputs!$E$47+Inputs!$E$48*Inputs!$E$49)</f>
        <v>63</v>
      </c>
      <c r="F11" s="27" t="n">
        <f aca="false">5*Inputs!$E$50*(Inputs!$E$44*Inputs!$E$45+Inputs!$E$46*Inputs!$E$47+Inputs!$E$48*Inputs!$E$49)</f>
        <v>126</v>
      </c>
      <c r="G11" s="27" t="n">
        <f aca="false">5*Inputs!$E$50*(Inputs!$E$44*Inputs!$E$45+Inputs!$E$46*Inputs!$E$47+Inputs!$E$48*Inputs!$E$49)</f>
        <v>126</v>
      </c>
    </row>
    <row r="12" customFormat="false" ht="15" hidden="false" customHeight="false" outlineLevel="0" collapsed="false">
      <c r="A12" s="12" t="s">
        <v>460</v>
      </c>
      <c r="B12" s="27" t="n">
        <f aca="false">Inputs!$E$53*Inputs!$E$52</f>
        <v>12</v>
      </c>
      <c r="C12" s="27" t="n">
        <f aca="false">Inputs!$E$53*Inputs!$E$52</f>
        <v>12</v>
      </c>
      <c r="D12" s="27" t="n">
        <f aca="false">Inputs!$E$53*Inputs!$E$52</f>
        <v>12</v>
      </c>
      <c r="E12" s="27" t="n">
        <f aca="false">Inputs!$E$53*Inputs!$E$52</f>
        <v>12</v>
      </c>
      <c r="F12" s="27" t="n">
        <f aca="false">Inputs!$E$53*Inputs!$E$52</f>
        <v>12</v>
      </c>
      <c r="G12" s="27" t="n">
        <f aca="false">Inputs!$E$53*Inputs!$E$52</f>
        <v>12</v>
      </c>
    </row>
    <row r="13" customFormat="false" ht="15" hidden="false" customHeight="false" outlineLevel="0" collapsed="false">
      <c r="A13" s="12" t="s">
        <v>461</v>
      </c>
      <c r="B13" s="27" t="n">
        <f aca="false">Inputs!$E$55*Inputs!$E$54</f>
        <v>20</v>
      </c>
      <c r="C13" s="27" t="n">
        <f aca="false">Inputs!$E$55*Inputs!$E$54</f>
        <v>20</v>
      </c>
      <c r="D13" s="27" t="n">
        <f aca="false">Inputs!$E$55*Inputs!$E$54</f>
        <v>20</v>
      </c>
      <c r="E13" s="27" t="n">
        <f aca="false">Inputs!$E$55*Inputs!$E$54</f>
        <v>20</v>
      </c>
      <c r="F13" s="27" t="n">
        <f aca="false">Inputs!$E$55*Inputs!$E$54</f>
        <v>20</v>
      </c>
      <c r="G13" s="27" t="n">
        <f aca="false">Inputs!$E$55*Inputs!$E$54</f>
        <v>20</v>
      </c>
    </row>
    <row r="14" customFormat="false" ht="15" hidden="false" customHeight="false" outlineLevel="0" collapsed="false">
      <c r="A14" s="18" t="s">
        <v>462</v>
      </c>
      <c r="B14" s="27" t="n">
        <f aca="false">B6+B7+B8+B9+B10+B11+B12+B13</f>
        <v>2418</v>
      </c>
      <c r="C14" s="27" t="n">
        <f aca="false">C6+C7+C8+C9+C10+C11+C12+C13</f>
        <v>2418</v>
      </c>
      <c r="D14" s="27" t="n">
        <f aca="false">D6+D7+D8+D9+D10+D11+D12+D13</f>
        <v>2605</v>
      </c>
      <c r="E14" s="27" t="n">
        <f aca="false">E6+E7+E8+E9+E10+E11+E12+E13</f>
        <v>2605</v>
      </c>
      <c r="F14" s="27" t="n">
        <f aca="false">F6+F7+F8+F9+F10+F11+F12+F13</f>
        <v>2158</v>
      </c>
      <c r="G14" s="27" t="n">
        <f aca="false">G6+G7+G8+G9+G10+G11+G12+G13</f>
        <v>2188</v>
      </c>
    </row>
    <row r="15" customFormat="false" ht="15" hidden="false" customHeight="false" outlineLevel="0" collapsed="false">
      <c r="A15" s="15" t="s">
        <v>208</v>
      </c>
      <c r="B15" s="16"/>
      <c r="C15" s="16"/>
      <c r="D15" s="16"/>
      <c r="E15" s="16"/>
      <c r="F15" s="16"/>
      <c r="G15" s="16"/>
      <c r="H15" s="16"/>
    </row>
    <row r="16" customFormat="false" ht="15" hidden="false" customHeight="false" outlineLevel="0" collapsed="false">
      <c r="A16" s="12" t="s">
        <v>463</v>
      </c>
      <c r="B16" s="27" t="n">
        <f aca="false">Inputs!$E$59*(Inputs_Yearly!$G$9+Inputs!$E$60*(1-Inputs_Yearly!$G$9))+Inputs!$E$61*(1-Inputs_Yearly!$G$9)</f>
        <v>277</v>
      </c>
      <c r="C16" s="27" t="n">
        <f aca="false">Inputs!$E$59*(Inputs_Yearly!$I$9+Inputs!$E$60*(1-Inputs_Yearly!$I$9))+Inputs!$E$61*(1-Inputs_Yearly!$I$9)</f>
        <v>244</v>
      </c>
      <c r="D16" s="27" t="n">
        <f aca="false">Inputs!$E$59*(Inputs_Yearly!$G$9+Inputs!$E$60*(1-Inputs_Yearly!$G$9))+Inputs!$E$61*(1-Inputs_Yearly!$G$9)</f>
        <v>277</v>
      </c>
      <c r="E16" s="27" t="n">
        <f aca="false">Inputs!$E$59*(Inputs_Yearly!$I$9+Inputs!$E$60*(1-Inputs_Yearly!$I$9))+Inputs!$E$61*(1-Inputs_Yearly!$I$9)</f>
        <v>244</v>
      </c>
      <c r="F16" s="11" t="n">
        <f aca="false">Inputs!$E$63</f>
        <v>70</v>
      </c>
      <c r="G16" s="11" t="n">
        <f aca="false">Inputs!$E$62</f>
        <v>130</v>
      </c>
    </row>
    <row r="17" customFormat="false" ht="15" hidden="false" customHeight="false" outlineLevel="0" collapsed="false">
      <c r="A17" s="12" t="s">
        <v>414</v>
      </c>
      <c r="B17" s="11" t="n">
        <f aca="false">Inputs_Yearly!$G$17</f>
        <v>60</v>
      </c>
      <c r="C17" s="11" t="n">
        <f aca="false">Inputs_Yearly!$I$17</f>
        <v>38</v>
      </c>
      <c r="D17" s="11" t="n">
        <f aca="false">Inputs_Yearly!$G$17</f>
        <v>60</v>
      </c>
      <c r="E17" s="11" t="n">
        <f aca="false">Inputs_Yearly!$I$17</f>
        <v>38</v>
      </c>
      <c r="F17" s="11" t="n">
        <f aca="false">Inputs_Yearly!$G$21</f>
        <v>95</v>
      </c>
      <c r="G17" s="11" t="n">
        <f aca="false">Inputs_Yearly!$G$17</f>
        <v>60</v>
      </c>
    </row>
    <row r="18" customFormat="false" ht="15" hidden="false" customHeight="false" outlineLevel="0" collapsed="false">
      <c r="A18" s="10" t="s">
        <v>412</v>
      </c>
      <c r="B18" s="11" t="n">
        <f aca="false">Inputs!$E$64</f>
        <v>25</v>
      </c>
      <c r="C18" s="11" t="n">
        <f aca="false">Inputs!$E$64</f>
        <v>25</v>
      </c>
      <c r="D18" s="11" t="n">
        <f aca="false">Inputs!$E$64</f>
        <v>25</v>
      </c>
      <c r="E18" s="11" t="n">
        <f aca="false">Inputs!$E$64</f>
        <v>25</v>
      </c>
      <c r="F18" s="11" t="n">
        <f aca="false">Inputs!$E$64</f>
        <v>25</v>
      </c>
      <c r="G18" s="11" t="n">
        <f aca="false">Inputs!$E$64</f>
        <v>25</v>
      </c>
    </row>
    <row r="19" customFormat="false" ht="15" hidden="false" customHeight="false" outlineLevel="0" collapsed="false">
      <c r="A19" s="12" t="s">
        <v>464</v>
      </c>
      <c r="B19" s="11" t="n">
        <f aca="false">Inputs_Yearly!$G$13</f>
        <v>1180</v>
      </c>
      <c r="C19" s="11" t="n">
        <f aca="false">Inputs_Yearly!$I$13</f>
        <v>915</v>
      </c>
      <c r="D19" s="27" t="n">
        <f aca="false">Inputs_Yearly!$G$13*(1-Inputs!$E$75)</f>
        <v>1003</v>
      </c>
      <c r="E19" s="27" t="n">
        <f aca="false">Inputs_Yearly!$I$13*(1-Inputs!$E$75)</f>
        <v>777.75</v>
      </c>
      <c r="F19" s="11" t="n">
        <f aca="false">Inputs_Yearly!$G$13</f>
        <v>1180</v>
      </c>
      <c r="G19" s="11" t="n">
        <f aca="false">Inputs_Yearly!$G$13</f>
        <v>1180</v>
      </c>
    </row>
    <row r="20" customFormat="false" ht="15" hidden="false" customHeight="false" outlineLevel="0" collapsed="false">
      <c r="A20" s="12" t="s">
        <v>465</v>
      </c>
      <c r="B20" s="27" t="n">
        <f aca="false">0</f>
        <v>0</v>
      </c>
      <c r="C20" s="27" t="n">
        <f aca="false">0</f>
        <v>0</v>
      </c>
      <c r="D20" s="27" t="n">
        <f aca="false">Inputs_Yearly!$G$13*(1+Inputs!$E$75)/2*Inputs!$E$76*5</f>
        <v>271.4</v>
      </c>
      <c r="E20" s="27" t="n">
        <f aca="false">Inputs_Yearly!$I$13*(1+Inputs!$E$75)/2*Inputs!$E$76*5</f>
        <v>210.45</v>
      </c>
      <c r="F20" s="27" t="n">
        <f aca="false">0</f>
        <v>0</v>
      </c>
      <c r="G20" s="27" t="n">
        <f aca="false">0</f>
        <v>0</v>
      </c>
    </row>
    <row r="21" customFormat="false" ht="15" hidden="false" customHeight="false" outlineLevel="0" collapsed="false">
      <c r="A21" s="12" t="s">
        <v>415</v>
      </c>
      <c r="B21" s="27" t="n">
        <f aca="false">Inputs!$E$65*Inputs!$E$37</f>
        <v>59.6</v>
      </c>
      <c r="C21" s="27" t="n">
        <f aca="false">Inputs!$E$65*Inputs!$E$37</f>
        <v>59.6</v>
      </c>
      <c r="D21" s="27" t="n">
        <f aca="false">Inputs!$E$65*Inputs_Yearly!$G$13</f>
        <v>47.2</v>
      </c>
      <c r="E21" s="27" t="n">
        <f aca="false">Inputs!$E$65*Inputs_Yearly!$I$13</f>
        <v>36.6</v>
      </c>
      <c r="F21" s="27" t="n">
        <f aca="false">Inputs!$E$65*Inputs!$E$37</f>
        <v>59.6</v>
      </c>
      <c r="G21" s="27" t="n">
        <f aca="false">Inputs!$E$65*Inputs!$E$37</f>
        <v>59.6</v>
      </c>
    </row>
    <row r="22" customFormat="false" ht="15" hidden="false" customHeight="false" outlineLevel="0" collapsed="false">
      <c r="A22" s="12" t="s">
        <v>466</v>
      </c>
      <c r="B22" s="27" t="n">
        <f aca="false">5*(Inputs_Yearly!$G$25*Inputs_Yearly!$G$29+Inputs!$E$66*Inputs!$E$67+Inputs!$E$68)</f>
        <v>184</v>
      </c>
      <c r="C22" s="27" t="n">
        <f aca="false">5*(Inputs_Yearly!$I$25*Inputs_Yearly!$I$29+Inputs!$E$66*Inputs!$E$67+Inputs!$E$68)</f>
        <v>134</v>
      </c>
      <c r="D22" s="27" t="n">
        <f aca="false">5*(Inputs_Yearly!$G$25*Inputs_Yearly!$G$29+Inputs!$E$66*Inputs!$E$67+Inputs!$E$68)</f>
        <v>184</v>
      </c>
      <c r="E22" s="27" t="n">
        <f aca="false">5*(Inputs_Yearly!$I$25*Inputs_Yearly!$I$29+Inputs!$E$66*Inputs!$E$67+Inputs!$E$68)</f>
        <v>134</v>
      </c>
      <c r="F22" s="27" t="n">
        <f aca="false">5*(Inputs_Yearly!$G$25*Inputs_Yearly!$G$29+Inputs!$E$66*Inputs!$E$67+Inputs!$E$68)</f>
        <v>184</v>
      </c>
      <c r="G22" s="27" t="n">
        <f aca="false">5*(Inputs_Yearly!$G$25*Inputs_Yearly!$G$29+Inputs!$E$66*Inputs!$E$67+Inputs!$E$68)</f>
        <v>184</v>
      </c>
    </row>
    <row r="23" customFormat="false" ht="15" hidden="false" customHeight="false" outlineLevel="0" collapsed="false">
      <c r="A23" s="12" t="s">
        <v>467</v>
      </c>
      <c r="B23" s="27" t="n">
        <f aca="false">B11*Inputs!$E$69</f>
        <v>44.1</v>
      </c>
      <c r="C23" s="27" t="n">
        <f aca="false">C11*Inputs!$E$69</f>
        <v>44.1</v>
      </c>
      <c r="D23" s="27" t="n">
        <f aca="false">(D11+5*Inputs!$E$44*Inputs!$E$45)*Inputs!$E$69</f>
        <v>53.55</v>
      </c>
      <c r="E23" s="27" t="n">
        <f aca="false">(E11+5*Inputs!$E$44*Inputs!$E$45)*Inputs!$E$69</f>
        <v>53.55</v>
      </c>
      <c r="F23" s="27" t="n">
        <f aca="false">F11*Inputs!$E$69</f>
        <v>44.1</v>
      </c>
      <c r="G23" s="27" t="n">
        <f aca="false">G11*Inputs!$E$69</f>
        <v>44.1</v>
      </c>
    </row>
    <row r="24" customFormat="false" ht="15" hidden="false" customHeight="false" outlineLevel="0" collapsed="false">
      <c r="A24" s="12" t="s">
        <v>421</v>
      </c>
      <c r="B24" s="27" t="n">
        <f aca="false">Inputs!$E$53*Inputs!$E$52*Inputs!$E$70+Inputs!$E$55*Inputs!$E$54*Inputs!$E$71</f>
        <v>10.2</v>
      </c>
      <c r="C24" s="27" t="n">
        <f aca="false">Inputs!$E$53*Inputs!$E$52*Inputs!$E$70+Inputs!$E$55*Inputs!$E$54*Inputs!$E$71</f>
        <v>10.2</v>
      </c>
      <c r="D24" s="27" t="n">
        <f aca="false">Inputs!$E$53*Inputs!$E$52*Inputs!$E$70+Inputs!$E$55*Inputs!$E$54*Inputs!$E$71</f>
        <v>10.2</v>
      </c>
      <c r="E24" s="27" t="n">
        <f aca="false">Inputs!$E$53*Inputs!$E$52*Inputs!$E$70+Inputs!$E$55*Inputs!$E$54*Inputs!$E$71</f>
        <v>10.2</v>
      </c>
      <c r="F24" s="27" t="n">
        <f aca="false">Inputs!$E$53*Inputs!$E$52*Inputs!$E$70+Inputs!$E$55*Inputs!$E$54*Inputs!$E$71</f>
        <v>10.2</v>
      </c>
      <c r="G24" s="27" t="n">
        <f aca="false">Inputs!$E$53*Inputs!$E$52*Inputs!$E$70+Inputs!$E$55*Inputs!$E$54*Inputs!$E$71</f>
        <v>10.2</v>
      </c>
    </row>
    <row r="25" customFormat="false" ht="15" hidden="false" customHeight="false" outlineLevel="0" collapsed="false">
      <c r="A25" s="10" t="s">
        <v>468</v>
      </c>
      <c r="B25" s="11" t="n">
        <f aca="false">Inputs!$E$73</f>
        <v>150</v>
      </c>
      <c r="C25" s="11" t="n">
        <f aca="false">Inputs!$E$73</f>
        <v>150</v>
      </c>
      <c r="D25" s="11" t="n">
        <f aca="false">Inputs!$E$73</f>
        <v>150</v>
      </c>
      <c r="E25" s="11" t="n">
        <f aca="false">Inputs!$E$73</f>
        <v>150</v>
      </c>
      <c r="F25" s="27" t="n">
        <f aca="false">Inputs!$E$72*(Inputs!$E$36+Inputs!$E$37+Inputs!$E$39)</f>
        <v>176</v>
      </c>
      <c r="G25" s="27" t="n">
        <f aca="false">Inputs!$E$74/(Inputs!$E$80*Inputs!$E$81)</f>
        <v>25</v>
      </c>
    </row>
    <row r="26" customFormat="false" ht="15" hidden="false" customHeight="false" outlineLevel="0" collapsed="false">
      <c r="A26" s="18" t="s">
        <v>469</v>
      </c>
      <c r="B26" s="27" t="n">
        <f aca="false">B16+B17+B18+B19+B20+B21+B22+B23+B24+B25</f>
        <v>1989.9</v>
      </c>
      <c r="C26" s="27" t="n">
        <f aca="false">C16+C17+C18+C19+C20+C21+C22+C23+C24+C25</f>
        <v>1619.9</v>
      </c>
      <c r="D26" s="27" t="n">
        <f aca="false">D16+D17+D18+D19+D20+D21+D22+D23+D24+D25</f>
        <v>2081.35</v>
      </c>
      <c r="E26" s="27" t="n">
        <f aca="false">E16+E17+E18+E19+E20+E21+E22+E23+E24+E25</f>
        <v>1679.55</v>
      </c>
      <c r="F26" s="27" t="n">
        <f aca="false">F16+F17+F18+F19+F20+F21+F22+F23+F24+F25</f>
        <v>1843.9</v>
      </c>
      <c r="G26" s="27" t="n">
        <f aca="false">G16+G17+G18+G19+G20+G21+G22+G23+G24+G25</f>
        <v>1717.9</v>
      </c>
    </row>
    <row r="27" customFormat="false" ht="15" hidden="false" customHeight="false" outlineLevel="0" collapsed="false">
      <c r="A27" s="15" t="s">
        <v>470</v>
      </c>
      <c r="B27" s="16"/>
      <c r="C27" s="16"/>
      <c r="D27" s="16"/>
      <c r="E27" s="16"/>
      <c r="F27" s="16"/>
      <c r="G27" s="16"/>
      <c r="H27" s="16"/>
    </row>
    <row r="28" customFormat="false" ht="15" hidden="false" customHeight="false" outlineLevel="0" collapsed="false">
      <c r="A28" s="12" t="s">
        <v>471</v>
      </c>
      <c r="B28" s="27" t="n">
        <f aca="false">B6+B7+B8</f>
        <v>2020</v>
      </c>
      <c r="C28" s="27" t="n">
        <f aca="false">C6+C7+C8</f>
        <v>2020</v>
      </c>
      <c r="D28" s="27" t="n">
        <f aca="false">D6+D7+D8</f>
        <v>530</v>
      </c>
      <c r="E28" s="27" t="n">
        <f aca="false">E6+E7+E8</f>
        <v>530</v>
      </c>
      <c r="F28" s="27" t="n">
        <f aca="false">F6+F7+F8</f>
        <v>1760</v>
      </c>
      <c r="G28" s="27" t="n">
        <f aca="false">G6+G7+G8</f>
        <v>1790</v>
      </c>
    </row>
    <row r="29" customFormat="false" ht="15" hidden="false" customHeight="false" outlineLevel="0" collapsed="false">
      <c r="A29" s="12" t="s">
        <v>472</v>
      </c>
      <c r="B29" s="27" t="n">
        <f aca="false">B9+B10+B11</f>
        <v>366</v>
      </c>
      <c r="C29" s="27" t="n">
        <f aca="false">C9+C10+C11</f>
        <v>366</v>
      </c>
      <c r="D29" s="27" t="n">
        <f aca="false">D9+D10+D11</f>
        <v>2043</v>
      </c>
      <c r="E29" s="27" t="n">
        <f aca="false">E9+E10+E11</f>
        <v>2043</v>
      </c>
      <c r="F29" s="27" t="n">
        <f aca="false">F9+F10+F11</f>
        <v>366</v>
      </c>
      <c r="G29" s="27" t="n">
        <f aca="false">G9+G10+G11</f>
        <v>366</v>
      </c>
    </row>
    <row r="30" customFormat="false" ht="15" hidden="false" customHeight="false" outlineLevel="0" collapsed="false">
      <c r="A30" s="12" t="s">
        <v>473</v>
      </c>
      <c r="B30" s="27" t="n">
        <f aca="false">B12+B13</f>
        <v>32</v>
      </c>
      <c r="C30" s="27" t="n">
        <f aca="false">C12+C13</f>
        <v>32</v>
      </c>
      <c r="D30" s="27" t="n">
        <f aca="false">D12+D13</f>
        <v>32</v>
      </c>
      <c r="E30" s="27" t="n">
        <f aca="false">E12+E13</f>
        <v>32</v>
      </c>
      <c r="F30" s="27" t="n">
        <f aca="false">F12+F13</f>
        <v>32</v>
      </c>
      <c r="G30" s="27" t="n">
        <f aca="false">G12+G13</f>
        <v>32</v>
      </c>
    </row>
    <row r="31" customFormat="false" ht="15" hidden="false" customHeight="false" outlineLevel="0" collapsed="false">
      <c r="A31" s="18" t="s">
        <v>474</v>
      </c>
      <c r="B31" s="27" t="n">
        <f aca="false">B14-(B26-B25)</f>
        <v>578.1</v>
      </c>
      <c r="C31" s="27" t="n">
        <f aca="false">C14-(C26-C25)</f>
        <v>948.1</v>
      </c>
      <c r="D31" s="27" t="n">
        <f aca="false">D14-(D26-D25)</f>
        <v>673.65</v>
      </c>
      <c r="E31" s="27" t="n">
        <f aca="false">E14-(E26-E25)</f>
        <v>1075.45</v>
      </c>
      <c r="F31" s="27" t="n">
        <f aca="false">F14-(F26-F25)</f>
        <v>490.1</v>
      </c>
      <c r="G31" s="27" t="n">
        <f aca="false">G14-(G26-G25)</f>
        <v>495.1</v>
      </c>
    </row>
    <row r="32" customFormat="false" ht="15" hidden="false" customHeight="false" outlineLevel="0" collapsed="false">
      <c r="A32" s="18" t="s">
        <v>475</v>
      </c>
      <c r="B32" s="27" t="n">
        <f aca="false">B14-B26</f>
        <v>428.1</v>
      </c>
      <c r="C32" s="27" t="n">
        <f aca="false">C14-C26</f>
        <v>798.1</v>
      </c>
      <c r="D32" s="27" t="n">
        <f aca="false">D14-D26</f>
        <v>523.65</v>
      </c>
      <c r="E32" s="27" t="n">
        <f aca="false">E14-E26</f>
        <v>925.45</v>
      </c>
      <c r="F32" s="27" t="n">
        <f aca="false">F14-F26</f>
        <v>314.1</v>
      </c>
      <c r="G32" s="27" t="n">
        <f aca="false">G14-G26</f>
        <v>470.1</v>
      </c>
    </row>
    <row r="33" customFormat="false" ht="15" hidden="false" customHeight="false" outlineLevel="0" collapsed="false">
      <c r="A33" s="18" t="s">
        <v>476</v>
      </c>
      <c r="B33" s="26" t="n">
        <f aca="false">IF(B14=0,0,B32/B14)</f>
        <v>0.177047146401985</v>
      </c>
      <c r="C33" s="26" t="n">
        <f aca="false">IF(C14=0,0,C32/C14)</f>
        <v>0.330066170388751</v>
      </c>
      <c r="D33" s="26" t="n">
        <f aca="false">IF(D14=0,0,D32/D14)</f>
        <v>0.201017274472169</v>
      </c>
      <c r="E33" s="26" t="n">
        <f aca="false">IF(E14=0,0,E32/E14)</f>
        <v>0.355259117082534</v>
      </c>
      <c r="F33" s="26" t="n">
        <f aca="false">IF(F14=0,0,F32/F14)</f>
        <v>0.145551436515292</v>
      </c>
      <c r="G33" s="26" t="n">
        <f aca="false">IF(G14=0,0,G32/G14)</f>
        <v>0.214853747714808</v>
      </c>
    </row>
    <row r="34" customFormat="false" ht="15" hidden="false" customHeight="false" outlineLevel="0" collapsed="false">
      <c r="A34" s="18" t="s">
        <v>477</v>
      </c>
      <c r="B34" s="27" t="n">
        <f aca="false">B22+B23+B21</f>
        <v>287.7</v>
      </c>
      <c r="C34" s="27" t="n">
        <f aca="false">C22+C23+C21</f>
        <v>237.7</v>
      </c>
      <c r="D34" s="27" t="n">
        <f aca="false">D22+D23+D21</f>
        <v>284.75</v>
      </c>
      <c r="E34" s="27" t="n">
        <f aca="false">E22+E23+E21</f>
        <v>224.15</v>
      </c>
      <c r="F34" s="27" t="n">
        <f aca="false">F22+F23+F21</f>
        <v>287.7</v>
      </c>
      <c r="G34" s="27" t="n">
        <f aca="false">G22+G23+G21</f>
        <v>287.7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50"/>
    <col collapsed="false" customWidth="true" hidden="false" outlineLevel="0" max="5" min="5" style="0" width="60"/>
  </cols>
  <sheetData>
    <row r="1" customFormat="false" ht="19.4" hidden="false" customHeight="false" outlineLevel="0" collapsed="false">
      <c r="A1" s="6" t="s">
        <v>478</v>
      </c>
    </row>
    <row r="3" customFormat="false" ht="15" hidden="false" customHeight="false" outlineLevel="0" collapsed="false">
      <c r="A3" s="8" t="s">
        <v>479</v>
      </c>
      <c r="B3" s="8" t="s">
        <v>480</v>
      </c>
      <c r="C3" s="8" t="s">
        <v>481</v>
      </c>
      <c r="D3" s="9" t="s">
        <v>452</v>
      </c>
    </row>
    <row r="4" customFormat="false" ht="15" hidden="false" customHeight="false" outlineLevel="0" collapsed="false">
      <c r="A4" s="12" t="s">
        <v>482</v>
      </c>
      <c r="B4" s="27" t="n">
        <f aca="false">Inputs_Yearly!$G$13</f>
        <v>1180</v>
      </c>
      <c r="C4" s="27" t="n">
        <f aca="false">Inputs_Yearly!$I$13</f>
        <v>915</v>
      </c>
      <c r="D4" s="12"/>
    </row>
    <row r="5" customFormat="false" ht="15" hidden="false" customHeight="false" outlineLevel="0" collapsed="false">
      <c r="A5" s="10" t="s">
        <v>483</v>
      </c>
      <c r="B5" s="27" t="n">
        <f aca="false">B4*(1-Inputs!$E$75)/Inputs!$E$41</f>
        <v>16.7166666666667</v>
      </c>
      <c r="C5" s="27" t="n">
        <f aca="false">C4*(1-Inputs!$E$75)/Inputs!$E$41</f>
        <v>12.9625</v>
      </c>
      <c r="D5" s="12"/>
    </row>
    <row r="6" customFormat="false" ht="15" hidden="false" customHeight="false" outlineLevel="0" collapsed="false">
      <c r="A6" s="10" t="s">
        <v>484</v>
      </c>
      <c r="B6" s="27" t="n">
        <f aca="false">B4*(1+Inputs!$E$75)/2*Inputs!$E$76/12</f>
        <v>4.52333333333333</v>
      </c>
      <c r="C6" s="27" t="n">
        <f aca="false">C4*(1+Inputs!$E$75)/2*Inputs!$E$76/12</f>
        <v>3.5075</v>
      </c>
      <c r="D6" s="12"/>
    </row>
    <row r="7" customFormat="false" ht="15" hidden="false" customHeight="false" outlineLevel="0" collapsed="false">
      <c r="A7" s="12" t="s">
        <v>485</v>
      </c>
      <c r="B7" s="27" t="n">
        <f aca="false">(Inputs_Yearly!$G$25*Inputs_Yearly!$G$29+Inputs!$E$66*Inputs!$E$67+Inputs!$E$68)/12</f>
        <v>3.06666666666667</v>
      </c>
      <c r="C7" s="27" t="n">
        <f aca="false">(Inputs_Yearly!$I$25*Inputs_Yearly!$I$29+Inputs!$E$66*Inputs!$E$67+Inputs!$E$68)/12</f>
        <v>2.23333333333333</v>
      </c>
      <c r="D7" s="12"/>
    </row>
    <row r="8" customFormat="false" ht="15" hidden="false" customHeight="false" outlineLevel="0" collapsed="false">
      <c r="A8" s="12" t="s">
        <v>486</v>
      </c>
      <c r="B8" s="27" t="n">
        <f aca="false">Inputs!$E$44*Inputs!$E$45*Inputs!$E$69/12</f>
        <v>0.525</v>
      </c>
      <c r="C8" s="27" t="n">
        <f aca="false">Inputs!$E$44*Inputs!$E$45*Inputs!$E$69/12</f>
        <v>0.525</v>
      </c>
      <c r="D8" s="12"/>
    </row>
    <row r="9" customFormat="false" ht="15" hidden="false" customHeight="false" outlineLevel="0" collapsed="false">
      <c r="A9" s="12" t="s">
        <v>487</v>
      </c>
      <c r="B9" s="27" t="n">
        <f aca="false">Inputs!$E$65*B4/Inputs!$E$41</f>
        <v>0.786666666666667</v>
      </c>
      <c r="C9" s="27" t="n">
        <f aca="false">Inputs!$E$65*C4/Inputs!$E$41</f>
        <v>0.61</v>
      </c>
      <c r="D9" s="12"/>
    </row>
    <row r="10" customFormat="false" ht="15" hidden="false" customHeight="false" outlineLevel="0" collapsed="false">
      <c r="A10" s="25" t="s">
        <v>488</v>
      </c>
      <c r="B10" s="27" t="n">
        <f aca="false">B5+B6+B7+B8+B9</f>
        <v>25.6183333333333</v>
      </c>
      <c r="C10" s="27" t="n">
        <f aca="false">C5+C6+C7+C8+C9</f>
        <v>19.8383333333333</v>
      </c>
      <c r="D10" s="12"/>
    </row>
    <row r="11" customFormat="false" ht="15" hidden="false" customHeight="false" outlineLevel="0" collapsed="false">
      <c r="A11" s="10" t="s">
        <v>489</v>
      </c>
      <c r="B11" s="27" t="n">
        <f aca="false">Inputs!$E$40</f>
        <v>33</v>
      </c>
      <c r="C11" s="27" t="n">
        <f aca="false">Inputs!$E$40</f>
        <v>33</v>
      </c>
      <c r="D11" s="12"/>
    </row>
    <row r="12" customFormat="false" ht="15" hidden="false" customHeight="false" outlineLevel="0" collapsed="false">
      <c r="A12" s="25" t="s">
        <v>490</v>
      </c>
      <c r="B12" s="27" t="n">
        <f aca="false">B11-B10</f>
        <v>7.38166666666667</v>
      </c>
      <c r="C12" s="27" t="n">
        <f aca="false">C11-C10</f>
        <v>13.1616666666667</v>
      </c>
      <c r="D12" s="12"/>
    </row>
    <row r="13" customFormat="false" ht="15" hidden="false" customHeight="false" outlineLevel="0" collapsed="false">
      <c r="A13" s="12" t="s">
        <v>476</v>
      </c>
      <c r="B13" s="26" t="n">
        <f aca="false">B12/B11</f>
        <v>0.223686868686869</v>
      </c>
      <c r="C13" s="26" t="n">
        <f aca="false">C12/C11</f>
        <v>0.398838383838384</v>
      </c>
      <c r="D13" s="12"/>
    </row>
    <row r="14" customFormat="false" ht="15" hidden="false" customHeight="false" outlineLevel="0" collapsed="false">
      <c r="A14" s="10" t="s">
        <v>491</v>
      </c>
      <c r="B14" s="27" t="n">
        <f aca="false">B10/0.8</f>
        <v>32.0229166666667</v>
      </c>
      <c r="C14" s="27" t="n">
        <f aca="false">C10/0.8</f>
        <v>24.7979166666667</v>
      </c>
      <c r="D14" s="12"/>
    </row>
    <row r="15" customFormat="false" ht="15" hidden="false" customHeight="false" outlineLevel="0" collapsed="false">
      <c r="A15" s="18" t="s">
        <v>492</v>
      </c>
      <c r="B15" s="27" t="n">
        <f aca="false">B4/(B11-B7-B8)</f>
        <v>40.1246812128082</v>
      </c>
      <c r="C15" s="27" t="n">
        <f aca="false">C4/(C11-C7-C8)</f>
        <v>30.2562689446128</v>
      </c>
      <c r="D15" s="10" t="s">
        <v>493</v>
      </c>
    </row>
    <row r="16" customFormat="false" ht="15" hidden="false" customHeight="false" outlineLevel="0" collapsed="false">
      <c r="A16" s="12" t="s">
        <v>494</v>
      </c>
      <c r="B16" s="27" t="n">
        <f aca="false">Inputs!$E$77*(B11-B7-B8)</f>
        <v>1058.7</v>
      </c>
      <c r="C16" s="27" t="n">
        <f aca="false">Inputs!$E$77*(C11-C7-C8)</f>
        <v>1088.7</v>
      </c>
      <c r="D16" s="12" t="s">
        <v>495</v>
      </c>
    </row>
    <row r="18" customFormat="false" ht="15" hidden="false" customHeight="false" outlineLevel="0" collapsed="false">
      <c r="A18" s="8" t="s">
        <v>496</v>
      </c>
      <c r="B18" s="8" t="s">
        <v>480</v>
      </c>
      <c r="C18" s="8" t="s">
        <v>481</v>
      </c>
      <c r="D18" s="9" t="s">
        <v>452</v>
      </c>
    </row>
    <row r="19" customFormat="false" ht="15" hidden="false" customHeight="false" outlineLevel="0" collapsed="false">
      <c r="A19" s="12" t="s">
        <v>497</v>
      </c>
      <c r="B19" s="27" t="n">
        <f aca="false">Inputs!$E$42</f>
        <v>48</v>
      </c>
      <c r="C19" s="27" t="n">
        <f aca="false">Inputs!$E$42</f>
        <v>48</v>
      </c>
    </row>
    <row r="20" customFormat="false" ht="15" hidden="false" customHeight="false" outlineLevel="0" collapsed="false">
      <c r="A20" s="10" t="s">
        <v>498</v>
      </c>
      <c r="B20" s="27" t="n">
        <f aca="false">Inputs_Yearly!$G$25*Inputs_Yearly!$G$29</f>
        <v>22</v>
      </c>
      <c r="C20" s="27" t="n">
        <f aca="false">Inputs_Yearly!$I$25*Inputs_Yearly!$I$29</f>
        <v>12</v>
      </c>
    </row>
    <row r="21" customFormat="false" ht="15" hidden="false" customHeight="false" outlineLevel="0" collapsed="false">
      <c r="A21" s="10" t="s">
        <v>499</v>
      </c>
      <c r="B21" s="27" t="n">
        <f aca="false">Inputs!$E$66*Inputs!$E$67</f>
        <v>10.8</v>
      </c>
      <c r="C21" s="27" t="n">
        <f aca="false">Inputs!$E$66*Inputs!$E$67</f>
        <v>10.8</v>
      </c>
    </row>
    <row r="22" customFormat="false" ht="15" hidden="false" customHeight="false" outlineLevel="0" collapsed="false">
      <c r="A22" s="12" t="s">
        <v>500</v>
      </c>
      <c r="B22" s="27" t="n">
        <f aca="false">Inputs!$E$68</f>
        <v>4</v>
      </c>
      <c r="C22" s="27" t="n">
        <f aca="false">Inputs!$E$68</f>
        <v>4</v>
      </c>
    </row>
    <row r="23" customFormat="false" ht="15" hidden="false" customHeight="false" outlineLevel="0" collapsed="false">
      <c r="A23" s="18" t="s">
        <v>501</v>
      </c>
      <c r="B23" s="27" t="n">
        <f aca="false">SUM(B20:B22)</f>
        <v>36.8</v>
      </c>
      <c r="C23" s="27" t="n">
        <f aca="false">SUM(C20:C22)</f>
        <v>26.8</v>
      </c>
    </row>
    <row r="24" customFormat="false" ht="15" hidden="false" customHeight="false" outlineLevel="0" collapsed="false">
      <c r="A24" s="18" t="s">
        <v>502</v>
      </c>
      <c r="B24" s="27" t="n">
        <f aca="false">B19-B23</f>
        <v>11.2</v>
      </c>
      <c r="C24" s="27" t="n">
        <f aca="false">C19-C23</f>
        <v>21.2</v>
      </c>
    </row>
    <row r="25" customFormat="false" ht="15" hidden="false" customHeight="false" outlineLevel="0" collapsed="false">
      <c r="A25" s="18" t="s">
        <v>503</v>
      </c>
      <c r="B25" s="26" t="n">
        <f aca="false">B24/B19</f>
        <v>0.233333333333333</v>
      </c>
      <c r="C25" s="26" t="n">
        <f aca="false">C24/C19</f>
        <v>0.441666666666667</v>
      </c>
    </row>
    <row r="27" customFormat="false" ht="15" hidden="false" customHeight="false" outlineLevel="0" collapsed="false">
      <c r="A27" s="8" t="s">
        <v>504</v>
      </c>
      <c r="B27" s="9" t="s">
        <v>505</v>
      </c>
      <c r="C27" s="9" t="s">
        <v>506</v>
      </c>
      <c r="D27" s="8" t="s">
        <v>34</v>
      </c>
    </row>
    <row r="28" customFormat="false" ht="15" hidden="false" customHeight="false" outlineLevel="0" collapsed="false">
      <c r="A28" s="12" t="s">
        <v>507</v>
      </c>
      <c r="B28" s="27" t="n">
        <f aca="false">Inputs!$E$44*Inputs!$E$45*Inputs!$E$50</f>
        <v>12.6</v>
      </c>
      <c r="C28" s="27" t="n">
        <f aca="false">B28*Inputs!$E$69</f>
        <v>4.41</v>
      </c>
      <c r="D28" s="27" t="n">
        <f aca="false">B28-C28</f>
        <v>8.19</v>
      </c>
    </row>
    <row r="29" customFormat="false" ht="15" hidden="false" customHeight="false" outlineLevel="0" collapsed="false">
      <c r="A29" s="12" t="s">
        <v>508</v>
      </c>
      <c r="B29" s="27" t="n">
        <f aca="false">Inputs!$E$46*Inputs!$E$47*Inputs!$E$50</f>
        <v>7</v>
      </c>
      <c r="C29" s="27" t="n">
        <f aca="false">B29*Inputs!$E$69</f>
        <v>2.45</v>
      </c>
      <c r="D29" s="27" t="n">
        <f aca="false">B29-C29</f>
        <v>4.55</v>
      </c>
    </row>
    <row r="30" customFormat="false" ht="15" hidden="false" customHeight="false" outlineLevel="0" collapsed="false">
      <c r="A30" s="12" t="s">
        <v>509</v>
      </c>
      <c r="B30" s="27" t="n">
        <f aca="false">Inputs!$E$48*Inputs!$E$49*Inputs!$E$50</f>
        <v>5.6</v>
      </c>
      <c r="C30" s="27" t="n">
        <f aca="false">B30*Inputs!$E$69</f>
        <v>1.96</v>
      </c>
      <c r="D30" s="27" t="n">
        <f aca="false">B30-C30</f>
        <v>3.64</v>
      </c>
    </row>
    <row r="31" customFormat="false" ht="15" hidden="false" customHeight="false" outlineLevel="0" collapsed="false">
      <c r="A31" s="25" t="s">
        <v>510</v>
      </c>
      <c r="B31" s="28" t="n">
        <f aca="false">SUM(B28:B30)</f>
        <v>25.2</v>
      </c>
      <c r="C31" s="28" t="n">
        <f aca="false">SUM(C28:C30)</f>
        <v>8.82</v>
      </c>
      <c r="D31" s="28" t="n">
        <f aca="false">SUM(D28:D30)</f>
        <v>16.38</v>
      </c>
    </row>
    <row r="33" customFormat="false" ht="15" hidden="false" customHeight="false" outlineLevel="0" collapsed="false">
      <c r="A33" s="8" t="s">
        <v>511</v>
      </c>
      <c r="B33" s="9" t="s">
        <v>512</v>
      </c>
      <c r="C33" s="8"/>
      <c r="D33" s="9" t="s">
        <v>452</v>
      </c>
    </row>
    <row r="34" customFormat="false" ht="15" hidden="false" customHeight="false" outlineLevel="0" collapsed="false">
      <c r="A34" s="12" t="s">
        <v>513</v>
      </c>
      <c r="B34" s="27" t="n">
        <f aca="false">Inputs!$E$37*Inputs!$E$56</f>
        <v>1311.2</v>
      </c>
      <c r="D34" s="12"/>
    </row>
    <row r="35" customFormat="false" ht="15" hidden="false" customHeight="false" outlineLevel="0" collapsed="false">
      <c r="A35" s="10" t="s">
        <v>514</v>
      </c>
      <c r="B35" s="27" t="n">
        <f aca="false">Inputs!$E$40-Inputs!$E$57</f>
        <v>27</v>
      </c>
      <c r="D35" s="12"/>
    </row>
    <row r="36" customFormat="false" ht="15" hidden="false" customHeight="false" outlineLevel="0" collapsed="false">
      <c r="A36" s="10" t="s">
        <v>515</v>
      </c>
      <c r="B36" s="27" t="n">
        <f aca="false">B34*Inputs!$E$75</f>
        <v>196.68</v>
      </c>
      <c r="D36" s="12"/>
    </row>
    <row r="37" customFormat="false" ht="15" hidden="false" customHeight="false" outlineLevel="0" collapsed="false">
      <c r="A37" s="10" t="s">
        <v>516</v>
      </c>
      <c r="B37" s="29" t="n">
        <f aca="false">RATE(Inputs!$E$41,B35,-B34,B36)</f>
        <v>0.0102761122810669</v>
      </c>
      <c r="D37" s="12" t="s">
        <v>517</v>
      </c>
    </row>
    <row r="38" customFormat="false" ht="15" hidden="false" customHeight="false" outlineLevel="0" collapsed="false">
      <c r="A38" s="25" t="s">
        <v>518</v>
      </c>
      <c r="B38" s="26" t="n">
        <f aca="false">(1+B37)^12-1</f>
        <v>0.130527190120729</v>
      </c>
      <c r="D38" s="12"/>
    </row>
    <row r="39" customFormat="false" ht="15" hidden="false" customHeight="false" outlineLevel="0" collapsed="false">
      <c r="A39" s="10" t="s">
        <v>519</v>
      </c>
      <c r="B39" s="27" t="n">
        <f aca="false">B34/B35</f>
        <v>48.562962962963</v>
      </c>
      <c r="D39" s="10" t="s">
        <v>520</v>
      </c>
    </row>
    <row r="40" customFormat="false" ht="15" hidden="false" customHeight="false" outlineLevel="0" collapsed="false">
      <c r="A40" s="12" t="s">
        <v>521</v>
      </c>
      <c r="B40" s="27" t="n">
        <f aca="false">Inputs!$E$77</f>
        <v>36</v>
      </c>
      <c r="D40" s="10" t="s">
        <v>522</v>
      </c>
    </row>
    <row r="42" customFormat="false" ht="15" hidden="false" customHeight="false" outlineLevel="0" collapsed="false">
      <c r="A42" s="8" t="s">
        <v>523</v>
      </c>
      <c r="B42" s="8" t="s">
        <v>524</v>
      </c>
      <c r="C42" s="8" t="s">
        <v>26</v>
      </c>
      <c r="D42" s="8" t="s">
        <v>28</v>
      </c>
    </row>
    <row r="43" customFormat="false" ht="15" hidden="false" customHeight="false" outlineLevel="0" collapsed="false">
      <c r="A43" s="12" t="s">
        <v>525</v>
      </c>
      <c r="B43" s="17" t="n">
        <v>950</v>
      </c>
      <c r="C43" s="17" t="n">
        <v>600</v>
      </c>
      <c r="D43" s="17" t="n">
        <v>450</v>
      </c>
      <c r="E43" s="12" t="s">
        <v>526</v>
      </c>
    </row>
    <row r="44" customFormat="false" ht="15" hidden="false" customHeight="false" outlineLevel="0" collapsed="false">
      <c r="A44" s="12" t="s">
        <v>527</v>
      </c>
      <c r="B44" s="17" t="n">
        <v>200</v>
      </c>
      <c r="C44" s="17" t="n">
        <v>120</v>
      </c>
      <c r="D44" s="17" t="n">
        <v>85</v>
      </c>
      <c r="E44" s="12" t="s">
        <v>528</v>
      </c>
    </row>
    <row r="45" customFormat="false" ht="15" hidden="false" customHeight="false" outlineLevel="0" collapsed="false">
      <c r="A45" s="12" t="s">
        <v>529</v>
      </c>
      <c r="B45" s="17" t="n">
        <v>180</v>
      </c>
      <c r="C45" s="17" t="n">
        <v>150</v>
      </c>
      <c r="D45" s="17" t="n">
        <v>120</v>
      </c>
      <c r="E45" s="12" t="s">
        <v>530</v>
      </c>
    </row>
    <row r="46" customFormat="false" ht="15" hidden="false" customHeight="false" outlineLevel="0" collapsed="false">
      <c r="A46" s="12" t="s">
        <v>531</v>
      </c>
      <c r="B46" s="17" t="n">
        <v>110</v>
      </c>
      <c r="C46" s="17" t="n">
        <v>80</v>
      </c>
      <c r="D46" s="17" t="n">
        <v>60</v>
      </c>
      <c r="E46" s="12" t="s">
        <v>532</v>
      </c>
    </row>
    <row r="47" customFormat="false" ht="15" hidden="false" customHeight="false" outlineLevel="0" collapsed="false">
      <c r="A47" s="12" t="s">
        <v>533</v>
      </c>
      <c r="B47" s="17" t="n">
        <v>100</v>
      </c>
      <c r="C47" s="17" t="n">
        <v>80</v>
      </c>
      <c r="D47" s="17" t="n">
        <v>70</v>
      </c>
      <c r="E47" s="12" t="s">
        <v>534</v>
      </c>
    </row>
    <row r="48" customFormat="false" ht="15" hidden="false" customHeight="false" outlineLevel="0" collapsed="false">
      <c r="A48" s="12" t="s">
        <v>535</v>
      </c>
      <c r="B48" s="17" t="n">
        <v>70</v>
      </c>
      <c r="C48" s="17" t="n">
        <v>60</v>
      </c>
      <c r="D48" s="17" t="n">
        <v>50</v>
      </c>
      <c r="E48" s="12" t="s">
        <v>536</v>
      </c>
    </row>
    <row r="49" customFormat="false" ht="15" hidden="false" customHeight="false" outlineLevel="0" collapsed="false">
      <c r="A49" s="12" t="s">
        <v>537</v>
      </c>
      <c r="B49" s="17" t="n">
        <v>70</v>
      </c>
      <c r="C49" s="17" t="n">
        <v>50</v>
      </c>
      <c r="D49" s="17" t="n">
        <v>45</v>
      </c>
      <c r="E49" s="12"/>
    </row>
    <row r="50" customFormat="false" ht="15" hidden="false" customHeight="false" outlineLevel="0" collapsed="false">
      <c r="A50" s="10" t="s">
        <v>538</v>
      </c>
      <c r="B50" s="17" t="n">
        <v>0</v>
      </c>
      <c r="C50" s="17" t="n">
        <v>40</v>
      </c>
      <c r="D50" s="17" t="n">
        <v>35</v>
      </c>
      <c r="E50" s="12"/>
    </row>
    <row r="51" customFormat="false" ht="15" hidden="false" customHeight="false" outlineLevel="0" collapsed="false">
      <c r="A51" s="25" t="s">
        <v>510</v>
      </c>
      <c r="B51" s="30" t="n">
        <f aca="false">SUM(B43:B50)</f>
        <v>1680</v>
      </c>
      <c r="C51" s="30" t="n">
        <f aca="false">SUM(C43:C50)</f>
        <v>1180</v>
      </c>
      <c r="D51" s="30" t="n">
        <f aca="false">SUM(D43:D50)</f>
        <v>915</v>
      </c>
    </row>
    <row r="52" customFormat="false" ht="15" hidden="false" customHeight="false" outlineLevel="0" collapsed="false">
      <c r="A52" s="10" t="s">
        <v>539</v>
      </c>
      <c r="B52" s="24" t="n">
        <f aca="false">B51-Inputs_Yearly!$E$13</f>
        <v>0</v>
      </c>
      <c r="C52" s="24" t="n">
        <f aca="false">C51-Inputs_Yearly!$G$13</f>
        <v>0</v>
      </c>
      <c r="D52" s="24" t="n">
        <f aca="false">D51-Inputs_Yearly!$I$13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64"/>
  </cols>
  <sheetData>
    <row r="1" customFormat="false" ht="19.4" hidden="false" customHeight="false" outlineLevel="0" collapsed="false">
      <c r="A1" s="6" t="s">
        <v>540</v>
      </c>
    </row>
    <row r="2" customFormat="false" ht="15" hidden="false" customHeight="false" outlineLevel="0" collapsed="false">
      <c r="A2" s="7" t="s">
        <v>541</v>
      </c>
    </row>
    <row r="3" customFormat="false" ht="15" hidden="false" customHeight="false" outlineLevel="0" collapsed="false">
      <c r="A3" s="9" t="s">
        <v>49</v>
      </c>
      <c r="B3" s="9" t="s">
        <v>512</v>
      </c>
      <c r="C3" s="9" t="s">
        <v>23</v>
      </c>
      <c r="D3" s="8" t="s">
        <v>5</v>
      </c>
      <c r="E3" s="9" t="s">
        <v>542</v>
      </c>
    </row>
    <row r="4" customFormat="false" ht="15" hidden="false" customHeight="false" outlineLevel="0" collapsed="false">
      <c r="A4" s="10" t="s">
        <v>543</v>
      </c>
      <c r="B4" s="11" t="n">
        <f aca="false">Inputs!$E$5</f>
        <v>20181</v>
      </c>
      <c r="C4" s="10" t="s">
        <v>54</v>
      </c>
      <c r="D4" s="18" t="s">
        <v>55</v>
      </c>
      <c r="E4" s="10" t="s">
        <v>544</v>
      </c>
    </row>
    <row r="5" customFormat="false" ht="15" hidden="false" customHeight="false" outlineLevel="0" collapsed="false">
      <c r="A5" s="10" t="s">
        <v>545</v>
      </c>
      <c r="B5" s="13" t="n">
        <f aca="false">Inputs!$E$6</f>
        <v>0.658</v>
      </c>
      <c r="C5" s="12" t="s">
        <v>33</v>
      </c>
      <c r="D5" s="18" t="s">
        <v>55</v>
      </c>
      <c r="E5" s="12"/>
    </row>
    <row r="6" customFormat="false" ht="15" hidden="false" customHeight="false" outlineLevel="0" collapsed="false">
      <c r="A6" s="10" t="s">
        <v>546</v>
      </c>
      <c r="B6" s="27" t="n">
        <f aca="false">B4*B5</f>
        <v>13279.098</v>
      </c>
      <c r="C6" s="10" t="s">
        <v>54</v>
      </c>
      <c r="D6" s="18" t="s">
        <v>362</v>
      </c>
      <c r="E6" s="10" t="s">
        <v>547</v>
      </c>
    </row>
    <row r="7" customFormat="false" ht="15" hidden="false" customHeight="false" outlineLevel="0" collapsed="false">
      <c r="A7" s="10" t="s">
        <v>548</v>
      </c>
      <c r="B7" s="27" t="n">
        <f aca="false">Inputs!$E$10/Inputs!$E$15</f>
        <v>290.454545454545</v>
      </c>
      <c r="C7" s="10" t="s">
        <v>94</v>
      </c>
      <c r="D7" s="18" t="s">
        <v>362</v>
      </c>
      <c r="E7" s="12"/>
    </row>
    <row r="8" customFormat="false" ht="15" hidden="false" customHeight="false" outlineLevel="0" collapsed="false">
      <c r="A8" s="10" t="s">
        <v>549</v>
      </c>
      <c r="B8" s="27" t="n">
        <f aca="false">Inputs!$E$11*Inputs!$E$16*Inputs!$E$17+Inputs!$E$18</f>
        <v>303.28</v>
      </c>
      <c r="C8" s="10" t="s">
        <v>94</v>
      </c>
      <c r="D8" s="18" t="s">
        <v>362</v>
      </c>
      <c r="E8" s="12"/>
    </row>
    <row r="9" customFormat="false" ht="15" hidden="false" customHeight="false" outlineLevel="0" collapsed="false">
      <c r="A9" s="10" t="s">
        <v>550</v>
      </c>
      <c r="B9" s="11" t="n">
        <f aca="false">Inputs!$E$19</f>
        <v>300</v>
      </c>
      <c r="C9" s="10" t="s">
        <v>94</v>
      </c>
      <c r="D9" s="18" t="s">
        <v>84</v>
      </c>
      <c r="E9" s="12" t="s">
        <v>551</v>
      </c>
    </row>
    <row r="10" customFormat="false" ht="15" hidden="false" customHeight="false" outlineLevel="0" collapsed="false">
      <c r="A10" s="12" t="s">
        <v>552</v>
      </c>
      <c r="B10" s="13" t="n">
        <f aca="false">Inputs!$E$20</f>
        <v>0.1</v>
      </c>
      <c r="C10" s="12" t="s">
        <v>33</v>
      </c>
      <c r="D10" s="18" t="s">
        <v>84</v>
      </c>
      <c r="E10" s="12"/>
    </row>
    <row r="11" customFormat="false" ht="15" hidden="false" customHeight="false" outlineLevel="0" collapsed="false">
      <c r="A11" s="12" t="s">
        <v>553</v>
      </c>
      <c r="B11" s="27" t="n">
        <f aca="false">B9*B10</f>
        <v>30</v>
      </c>
      <c r="C11" s="10" t="s">
        <v>94</v>
      </c>
      <c r="D11" s="18" t="s">
        <v>362</v>
      </c>
      <c r="E11" s="12"/>
    </row>
    <row r="12" customFormat="false" ht="15" hidden="false" customHeight="false" outlineLevel="0" collapsed="false">
      <c r="A12" s="12" t="s">
        <v>554</v>
      </c>
      <c r="B12" s="13" t="n">
        <f aca="false">Inputs!$E$21</f>
        <v>0.6</v>
      </c>
      <c r="C12" s="12" t="s">
        <v>33</v>
      </c>
      <c r="D12" s="18" t="s">
        <v>84</v>
      </c>
      <c r="E12" s="12"/>
    </row>
    <row r="13" customFormat="false" ht="15" hidden="false" customHeight="false" outlineLevel="0" collapsed="false">
      <c r="A13" s="18" t="s">
        <v>555</v>
      </c>
      <c r="B13" s="27" t="n">
        <f aca="false">B11*B12</f>
        <v>18</v>
      </c>
      <c r="C13" s="10" t="s">
        <v>94</v>
      </c>
      <c r="D13" s="18" t="s">
        <v>362</v>
      </c>
      <c r="E13" s="12"/>
    </row>
    <row r="14" customFormat="false" ht="15" hidden="false" customHeight="false" outlineLevel="0" collapsed="false">
      <c r="A14" s="12" t="s">
        <v>556</v>
      </c>
      <c r="B14" s="27" t="n">
        <f aca="false">Inputs!$E$34+Inputs_Yearly!$I$45*(Inputs!$E$37+Inputs!$E$38)</f>
        <v>1784.5</v>
      </c>
      <c r="C14" s="10" t="s">
        <v>194</v>
      </c>
      <c r="D14" s="18" t="s">
        <v>362</v>
      </c>
      <c r="E14" s="12" t="s">
        <v>557</v>
      </c>
    </row>
    <row r="15" customFormat="false" ht="15" hidden="false" customHeight="false" outlineLevel="0" collapsed="false">
      <c r="A15" s="18" t="s">
        <v>558</v>
      </c>
      <c r="B15" s="27" t="n">
        <f aca="false">B13*B14/10</f>
        <v>3212.1</v>
      </c>
      <c r="C15" s="10" t="s">
        <v>559</v>
      </c>
      <c r="D15" s="18" t="s">
        <v>362</v>
      </c>
      <c r="E15" s="10" t="s">
        <v>560</v>
      </c>
    </row>
    <row r="16" customFormat="false" ht="15" hidden="false" customHeight="false" outlineLevel="0" collapsed="false">
      <c r="A16" s="12" t="s">
        <v>561</v>
      </c>
      <c r="B16" s="13" t="n">
        <f aca="false">Inputs!$E$22</f>
        <v>0.1</v>
      </c>
      <c r="C16" s="12" t="s">
        <v>33</v>
      </c>
      <c r="D16" s="18" t="s">
        <v>84</v>
      </c>
      <c r="E16" s="12"/>
    </row>
    <row r="17" customFormat="false" ht="15" hidden="false" customHeight="false" outlineLevel="0" collapsed="false">
      <c r="A17" s="12" t="s">
        <v>109</v>
      </c>
      <c r="B17" s="13" t="n">
        <f aca="false">Inputs!$E$23</f>
        <v>0.6</v>
      </c>
      <c r="C17" s="12" t="s">
        <v>33</v>
      </c>
      <c r="D17" s="18" t="s">
        <v>84</v>
      </c>
      <c r="E17" s="12" t="s">
        <v>562</v>
      </c>
    </row>
    <row r="18" customFormat="false" ht="15" hidden="false" customHeight="false" outlineLevel="0" collapsed="false">
      <c r="A18" s="12" t="s">
        <v>563</v>
      </c>
      <c r="B18" s="13" t="n">
        <f aca="false">Inputs!$E$24</f>
        <v>0.4</v>
      </c>
      <c r="C18" s="12" t="s">
        <v>33</v>
      </c>
      <c r="D18" s="18" t="s">
        <v>84</v>
      </c>
      <c r="E18" s="10" t="s">
        <v>564</v>
      </c>
    </row>
    <row r="19" customFormat="false" ht="15" hidden="false" customHeight="false" outlineLevel="0" collapsed="false">
      <c r="A19" s="12" t="s">
        <v>565</v>
      </c>
      <c r="B19" s="27" t="n">
        <f aca="false">B6*B16*B17*B18</f>
        <v>318.698352</v>
      </c>
      <c r="C19" s="10" t="s">
        <v>566</v>
      </c>
      <c r="D19" s="18" t="s">
        <v>362</v>
      </c>
      <c r="E19" s="10" t="s">
        <v>567</v>
      </c>
    </row>
    <row r="20" customFormat="false" ht="15" hidden="false" customHeight="false" outlineLevel="0" collapsed="false">
      <c r="A20" s="12" t="s">
        <v>568</v>
      </c>
      <c r="B20" s="13" t="n">
        <f aca="false">Inputs!$E$25</f>
        <v>0.005</v>
      </c>
      <c r="C20" s="12" t="s">
        <v>33</v>
      </c>
      <c r="D20" s="18" t="s">
        <v>84</v>
      </c>
      <c r="E20" s="12"/>
    </row>
    <row r="21" customFormat="false" ht="15" hidden="false" customHeight="false" outlineLevel="0" collapsed="false">
      <c r="A21" s="18" t="s">
        <v>569</v>
      </c>
      <c r="B21" s="27" t="n">
        <f aca="false">B19*B20</f>
        <v>1.59349176</v>
      </c>
      <c r="C21" s="10" t="s">
        <v>94</v>
      </c>
      <c r="D21" s="18" t="s">
        <v>362</v>
      </c>
      <c r="E21" s="12"/>
    </row>
    <row r="22" customFormat="false" ht="15" hidden="false" customHeight="false" outlineLevel="0" collapsed="false">
      <c r="A22" s="12" t="s">
        <v>570</v>
      </c>
      <c r="B22" s="27" t="n">
        <f aca="false">Inputs!$E$36+Inputs!$E$37+Inputs!$E$39</f>
        <v>1760</v>
      </c>
      <c r="C22" s="10" t="s">
        <v>194</v>
      </c>
      <c r="D22" s="18" t="s">
        <v>362</v>
      </c>
      <c r="E22" s="12" t="s">
        <v>571</v>
      </c>
    </row>
    <row r="23" customFormat="false" ht="15" hidden="false" customHeight="false" outlineLevel="0" collapsed="false">
      <c r="A23" s="18" t="s">
        <v>572</v>
      </c>
      <c r="B23" s="27" t="n">
        <f aca="false">B21*B22/10</f>
        <v>280.45454976</v>
      </c>
      <c r="C23" s="10" t="s">
        <v>559</v>
      </c>
      <c r="D23" s="18" t="s">
        <v>362</v>
      </c>
      <c r="E23" s="12"/>
    </row>
    <row r="24" customFormat="false" ht="15" hidden="false" customHeight="false" outlineLevel="0" collapsed="false">
      <c r="A24" s="10" t="s">
        <v>573</v>
      </c>
      <c r="B24" s="11" t="n">
        <f aca="false">Inputs!$E$26</f>
        <v>200</v>
      </c>
      <c r="C24" s="10" t="s">
        <v>94</v>
      </c>
      <c r="D24" s="18" t="s">
        <v>362</v>
      </c>
      <c r="E24" s="12" t="s">
        <v>574</v>
      </c>
    </row>
    <row r="25" customFormat="false" ht="15" hidden="false" customHeight="false" outlineLevel="0" collapsed="false">
      <c r="A25" s="12" t="s">
        <v>575</v>
      </c>
      <c r="B25" s="13" t="n">
        <f aca="false">Inputs!$E$27</f>
        <v>0.15</v>
      </c>
      <c r="C25" s="12" t="s">
        <v>33</v>
      </c>
      <c r="D25" s="18" t="s">
        <v>84</v>
      </c>
      <c r="E25" s="12"/>
    </row>
    <row r="26" customFormat="false" ht="15" hidden="false" customHeight="false" outlineLevel="0" collapsed="false">
      <c r="A26" s="10" t="s">
        <v>576</v>
      </c>
      <c r="B26" s="27" t="n">
        <f aca="false">B24*B25</f>
        <v>30</v>
      </c>
      <c r="C26" s="10" t="s">
        <v>94</v>
      </c>
      <c r="D26" s="18" t="s">
        <v>362</v>
      </c>
      <c r="E26" s="12"/>
    </row>
    <row r="27" customFormat="false" ht="15" hidden="false" customHeight="false" outlineLevel="0" collapsed="false">
      <c r="A27" s="12" t="s">
        <v>577</v>
      </c>
      <c r="B27" s="13" t="n">
        <f aca="false">Inputs!$E$81</f>
        <v>0.1</v>
      </c>
      <c r="C27" s="12" t="s">
        <v>33</v>
      </c>
      <c r="D27" s="18" t="s">
        <v>84</v>
      </c>
      <c r="E27" s="12"/>
    </row>
    <row r="28" customFormat="false" ht="15" hidden="false" customHeight="false" outlineLevel="0" collapsed="false">
      <c r="A28" s="18" t="s">
        <v>578</v>
      </c>
      <c r="B28" s="27" t="n">
        <f aca="false">B26*B27</f>
        <v>3</v>
      </c>
      <c r="C28" s="10" t="s">
        <v>94</v>
      </c>
      <c r="D28" s="18" t="s">
        <v>362</v>
      </c>
      <c r="E28" s="12"/>
    </row>
    <row r="29" customFormat="false" ht="15" hidden="false" customHeight="false" outlineLevel="0" collapsed="false">
      <c r="A29" s="12" t="s">
        <v>579</v>
      </c>
      <c r="B29" s="27" t="n">
        <f aca="false">Inputs!$E$35+Inputs!$E$82*(Inputs!$E$37+Inputs!$E$38)</f>
        <v>612.5</v>
      </c>
      <c r="C29" s="10" t="s">
        <v>194</v>
      </c>
      <c r="D29" s="18" t="s">
        <v>362</v>
      </c>
      <c r="E29" s="12" t="s">
        <v>580</v>
      </c>
    </row>
    <row r="30" customFormat="false" ht="15" hidden="false" customHeight="false" outlineLevel="0" collapsed="false">
      <c r="A30" s="18" t="s">
        <v>581</v>
      </c>
      <c r="B30" s="27" t="n">
        <f aca="false">B28*B29/10</f>
        <v>183.75</v>
      </c>
      <c r="C30" s="10" t="s">
        <v>559</v>
      </c>
      <c r="D30" s="18" t="s">
        <v>362</v>
      </c>
      <c r="E30" s="12"/>
    </row>
    <row r="31" customFormat="false" ht="15" hidden="false" customHeight="false" outlineLevel="0" collapsed="false">
      <c r="A31" s="10" t="s">
        <v>582</v>
      </c>
      <c r="B31" s="27" t="n">
        <f aca="false">Inputs!$E$51*Inputs!$E$42+Inputs!$E$50*(Inputs!$E$44*Inputs!$E$45+Inputs!$E$46*Inputs!$E$47+Inputs!$E$48*Inputs!$E$49)</f>
        <v>58.8</v>
      </c>
      <c r="C31" s="10" t="s">
        <v>167</v>
      </c>
      <c r="D31" s="18" t="s">
        <v>362</v>
      </c>
      <c r="E31" s="12"/>
    </row>
    <row r="32" customFormat="false" ht="15" hidden="false" customHeight="false" outlineLevel="0" collapsed="false">
      <c r="A32" s="18" t="s">
        <v>583</v>
      </c>
      <c r="B32" s="27" t="n">
        <f aca="false">B31*1000/10000</f>
        <v>5.88</v>
      </c>
      <c r="C32" s="10" t="s">
        <v>559</v>
      </c>
      <c r="D32" s="18" t="s">
        <v>362</v>
      </c>
      <c r="E32" s="12"/>
    </row>
    <row r="33" customFormat="false" ht="15" hidden="false" customHeight="false" outlineLevel="0" collapsed="false">
      <c r="A33" s="12" t="s">
        <v>584</v>
      </c>
      <c r="B33" s="27" t="n">
        <f aca="false">FM_Base!$G$28</f>
        <v>662.625</v>
      </c>
      <c r="C33" s="10" t="s">
        <v>41</v>
      </c>
      <c r="D33" s="18" t="s">
        <v>294</v>
      </c>
      <c r="E33" s="12" t="s">
        <v>585</v>
      </c>
    </row>
    <row r="34" customFormat="false" ht="15" hidden="false" customHeight="false" outlineLevel="0" collapsed="false">
      <c r="A34" s="18" t="s">
        <v>586</v>
      </c>
      <c r="B34" s="27" t="n">
        <f aca="false">FM_Base!$G$76/10000</f>
        <v>3.478281</v>
      </c>
      <c r="C34" s="10" t="s">
        <v>559</v>
      </c>
      <c r="D34" s="18" t="s">
        <v>294</v>
      </c>
      <c r="E34" s="12" t="s">
        <v>587</v>
      </c>
    </row>
    <row r="35" customFormat="false" ht="15" hidden="false" customHeight="false" outlineLevel="0" collapsed="false">
      <c r="A35" s="10" t="s">
        <v>588</v>
      </c>
      <c r="B35" s="27" t="n">
        <f aca="false">Inputs!$E$34+Inputs!$E$37+Inputs!$E$38</f>
        <v>2020</v>
      </c>
      <c r="C35" s="10" t="s">
        <v>194</v>
      </c>
      <c r="D35" s="18" t="s">
        <v>84</v>
      </c>
      <c r="E35" s="12"/>
    </row>
    <row r="36" customFormat="false" ht="15" hidden="false" customHeight="false" outlineLevel="0" collapsed="false">
      <c r="A36" s="10" t="s">
        <v>589</v>
      </c>
      <c r="B36" s="27" t="n">
        <f aca="false">(B11+B26)*B35/10</f>
        <v>12120</v>
      </c>
      <c r="C36" s="10" t="s">
        <v>559</v>
      </c>
      <c r="D36" s="18" t="s">
        <v>362</v>
      </c>
      <c r="E36" s="10" t="s">
        <v>590</v>
      </c>
    </row>
    <row r="37" customFormat="false" ht="15" hidden="false" customHeight="false" outlineLevel="0" collapsed="false">
      <c r="A37" s="18" t="s">
        <v>591</v>
      </c>
      <c r="B37" s="27" t="n">
        <f aca="false">B15+B23+B30</f>
        <v>3676.30454976</v>
      </c>
      <c r="C37" s="10" t="s">
        <v>559</v>
      </c>
      <c r="D37" s="18" t="s">
        <v>362</v>
      </c>
      <c r="E37" s="12"/>
    </row>
    <row r="38" customFormat="false" ht="15" hidden="false" customHeight="false" outlineLevel="0" collapsed="false">
      <c r="A38" s="18" t="s">
        <v>592</v>
      </c>
      <c r="B38" s="27" t="n">
        <f aca="false">FM_Base!$G$42/10000</f>
        <v>91.490638</v>
      </c>
      <c r="C38" s="10" t="s">
        <v>559</v>
      </c>
      <c r="D38" s="18" t="s">
        <v>294</v>
      </c>
      <c r="E38" s="12" t="s">
        <v>585</v>
      </c>
    </row>
    <row r="39" customFormat="false" ht="15" hidden="false" customHeight="false" outlineLevel="0" collapsed="false">
      <c r="A39" s="18" t="s">
        <v>593</v>
      </c>
      <c r="B39" s="26" t="n">
        <f aca="false">FM_Base!$G$9/((B13+B21+B28)*1000)</f>
        <v>0.0247858987866336</v>
      </c>
      <c r="C39" s="12" t="s">
        <v>33</v>
      </c>
      <c r="D39" s="18" t="s">
        <v>362</v>
      </c>
      <c r="E3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1"/>
    <col collapsed="false" customWidth="true" hidden="false" outlineLevel="0" max="14" min="13" style="0" width="14"/>
  </cols>
  <sheetData>
    <row r="1" customFormat="false" ht="19.4" hidden="false" customHeight="false" outlineLevel="0" collapsed="false">
      <c r="A1" s="6" t="s">
        <v>594</v>
      </c>
    </row>
    <row r="2" customFormat="false" ht="15" hidden="false" customHeight="false" outlineLevel="0" collapsed="false">
      <c r="A2" s="7" t="s">
        <v>595</v>
      </c>
    </row>
    <row r="4" customFormat="false" ht="15" hidden="false" customHeight="false" outlineLevel="0" collapsed="false">
      <c r="A4" s="8" t="s">
        <v>596</v>
      </c>
      <c r="B4" s="8" t="s">
        <v>150</v>
      </c>
      <c r="C4" s="8" t="s">
        <v>296</v>
      </c>
      <c r="D4" s="8" t="s">
        <v>140</v>
      </c>
      <c r="E4" s="8" t="s">
        <v>244</v>
      </c>
      <c r="F4" s="8" t="s">
        <v>165</v>
      </c>
      <c r="G4" s="8" t="s">
        <v>308</v>
      </c>
      <c r="H4" s="8" t="s">
        <v>292</v>
      </c>
      <c r="I4" s="8" t="s">
        <v>299</v>
      </c>
      <c r="J4" s="8" t="s">
        <v>227</v>
      </c>
      <c r="K4" s="8" t="s">
        <v>224</v>
      </c>
      <c r="L4" s="8" t="s">
        <v>188</v>
      </c>
      <c r="M4" s="8" t="s">
        <v>34</v>
      </c>
      <c r="N4" s="8" t="s">
        <v>597</v>
      </c>
    </row>
    <row r="5" customFormat="false" ht="15" hidden="false" customHeight="false" outlineLevel="0" collapsed="false">
      <c r="A5" s="18" t="s">
        <v>45</v>
      </c>
      <c r="B5" s="11" t="n">
        <f aca="false">Inputs!$E$37</f>
        <v>1490</v>
      </c>
      <c r="C5" s="11" t="n">
        <f aca="false">Inputs_Yearly!$G$13</f>
        <v>1180</v>
      </c>
      <c r="D5" s="11" t="n">
        <f aca="false">Inputs!$E$34</f>
        <v>450</v>
      </c>
      <c r="E5" s="11" t="n">
        <f aca="false">Inputs!$E$73</f>
        <v>150</v>
      </c>
      <c r="F5" s="11" t="n">
        <f aca="false">Inputs!$E$42</f>
        <v>48</v>
      </c>
      <c r="G5" s="11" t="n">
        <f aca="false">Inputs_Yearly!$G$29</f>
        <v>11</v>
      </c>
      <c r="H5" s="13" t="n">
        <f aca="false">Inputs_Yearly!$G$9</f>
        <v>0.65</v>
      </c>
      <c r="I5" s="11" t="n">
        <f aca="false">Inputs_Yearly!$G$17</f>
        <v>60</v>
      </c>
      <c r="J5" s="11" t="n">
        <f aca="false">Inputs!$E$66</f>
        <v>0.6</v>
      </c>
      <c r="K5" s="13" t="n">
        <f aca="false">Inputs!$E$65</f>
        <v>0.04</v>
      </c>
      <c r="L5" s="13" t="n">
        <f aca="false">Inputs!$E$50</f>
        <v>0.7</v>
      </c>
      <c r="M5" s="27" t="n">
        <f aca="false">(D5+Inputs!$E$38+B5+5*F5+5*L5*(Inputs!$E$44*Inputs!$E$45+Inputs!$E$46*Inputs!$E$47+Inputs!$E$48*Inputs!$E$49)+Inputs!$E$53*Inputs!$E$52+Inputs!$E$55*Inputs!$E$54)-(Inputs!$E$59*(H5+Inputs!$E$60*(1-H5))+Inputs!$E$61*(1-H5)+I5+Inputs!$E$64+C5+K5*B5+5*(Inputs_Yearly!$G$25*G5+J5*Inputs!$E$67+Inputs!$E$68)+5*L5*(Inputs!$E$44*Inputs!$E$45+Inputs!$E$46*Inputs!$E$47+Inputs!$E$48*Inputs!$E$49)*Inputs!$E$69+Inputs!$E$53*Inputs!$E$52*Inputs!$E$70+Inputs!$E$55*Inputs!$E$54*Inputs!$E$71+E5)</f>
        <v>428.1</v>
      </c>
      <c r="N5" s="27" t="n">
        <f aca="false">M5-$M$5</f>
        <v>0</v>
      </c>
    </row>
    <row r="6" customFormat="false" ht="15" hidden="false" customHeight="false" outlineLevel="0" collapsed="false">
      <c r="A6" s="12" t="s">
        <v>598</v>
      </c>
      <c r="B6" s="20" t="n">
        <f aca="false">Inputs!$E$37*0.8</f>
        <v>1192</v>
      </c>
      <c r="C6" s="11" t="n">
        <f aca="false">Inputs_Yearly!$G$13</f>
        <v>1180</v>
      </c>
      <c r="D6" s="11" t="n">
        <f aca="false">Inputs!$E$34</f>
        <v>450</v>
      </c>
      <c r="E6" s="11" t="n">
        <f aca="false">Inputs!$E$73</f>
        <v>150</v>
      </c>
      <c r="F6" s="11" t="n">
        <f aca="false">Inputs!$E$42</f>
        <v>48</v>
      </c>
      <c r="G6" s="11" t="n">
        <f aca="false">Inputs_Yearly!$G$29</f>
        <v>11</v>
      </c>
      <c r="H6" s="13" t="n">
        <f aca="false">Inputs_Yearly!$G$9</f>
        <v>0.65</v>
      </c>
      <c r="I6" s="11" t="n">
        <f aca="false">Inputs_Yearly!$G$17</f>
        <v>60</v>
      </c>
      <c r="J6" s="11" t="n">
        <f aca="false">Inputs!$E$66</f>
        <v>0.6</v>
      </c>
      <c r="K6" s="13" t="n">
        <f aca="false">Inputs!$E$65</f>
        <v>0.04</v>
      </c>
      <c r="L6" s="13" t="n">
        <f aca="false">Inputs!$E$50</f>
        <v>0.7</v>
      </c>
      <c r="M6" s="27" t="n">
        <f aca="false">(D6+Inputs!$E$38+B6+5*F6+5*L6*(Inputs!$E$44*Inputs!$E$45+Inputs!$E$46*Inputs!$E$47+Inputs!$E$48*Inputs!$E$49)+Inputs!$E$53*Inputs!$E$52+Inputs!$E$55*Inputs!$E$54)-(Inputs!$E$59*(H6+Inputs!$E$60*(1-H6))+Inputs!$E$61*(1-H6)+I6+Inputs!$E$64+C6+K6*B6+5*(Inputs_Yearly!$G$25*G6+J6*Inputs!$E$67+Inputs!$E$68)+5*L6*(Inputs!$E$44*Inputs!$E$45+Inputs!$E$46*Inputs!$E$47+Inputs!$E$48*Inputs!$E$49)*Inputs!$E$69+Inputs!$E$53*Inputs!$E$52*Inputs!$E$70+Inputs!$E$55*Inputs!$E$54*Inputs!$E$71+E6)</f>
        <v>142.02</v>
      </c>
      <c r="N6" s="27" t="n">
        <f aca="false">M6-$M$5</f>
        <v>-286.08</v>
      </c>
    </row>
    <row r="7" customFormat="false" ht="15" hidden="false" customHeight="false" outlineLevel="0" collapsed="false">
      <c r="A7" s="12" t="s">
        <v>599</v>
      </c>
      <c r="B7" s="20" t="n">
        <f aca="false">Inputs!$E$37*1.2</f>
        <v>1788</v>
      </c>
      <c r="C7" s="11" t="n">
        <f aca="false">Inputs_Yearly!$G$13</f>
        <v>1180</v>
      </c>
      <c r="D7" s="11" t="n">
        <f aca="false">Inputs!$E$34</f>
        <v>450</v>
      </c>
      <c r="E7" s="11" t="n">
        <f aca="false">Inputs!$E$73</f>
        <v>150</v>
      </c>
      <c r="F7" s="11" t="n">
        <f aca="false">Inputs!$E$42</f>
        <v>48</v>
      </c>
      <c r="G7" s="11" t="n">
        <f aca="false">Inputs_Yearly!$G$29</f>
        <v>11</v>
      </c>
      <c r="H7" s="13" t="n">
        <f aca="false">Inputs_Yearly!$G$9</f>
        <v>0.65</v>
      </c>
      <c r="I7" s="11" t="n">
        <f aca="false">Inputs_Yearly!$G$17</f>
        <v>60</v>
      </c>
      <c r="J7" s="11" t="n">
        <f aca="false">Inputs!$E$66</f>
        <v>0.6</v>
      </c>
      <c r="K7" s="13" t="n">
        <f aca="false">Inputs!$E$65</f>
        <v>0.04</v>
      </c>
      <c r="L7" s="13" t="n">
        <f aca="false">Inputs!$E$50</f>
        <v>0.7</v>
      </c>
      <c r="M7" s="27" t="n">
        <f aca="false">(D7+Inputs!$E$38+B7+5*F7+5*L7*(Inputs!$E$44*Inputs!$E$45+Inputs!$E$46*Inputs!$E$47+Inputs!$E$48*Inputs!$E$49)+Inputs!$E$53*Inputs!$E$52+Inputs!$E$55*Inputs!$E$54)-(Inputs!$E$59*(H7+Inputs!$E$60*(1-H7))+Inputs!$E$61*(1-H7)+I7+Inputs!$E$64+C7+K7*B7+5*(Inputs_Yearly!$G$25*G7+J7*Inputs!$E$67+Inputs!$E$68)+5*L7*(Inputs!$E$44*Inputs!$E$45+Inputs!$E$46*Inputs!$E$47+Inputs!$E$48*Inputs!$E$49)*Inputs!$E$69+Inputs!$E$53*Inputs!$E$52*Inputs!$E$70+Inputs!$E$55*Inputs!$E$54*Inputs!$E$71+E7)</f>
        <v>714.18</v>
      </c>
      <c r="N7" s="27" t="n">
        <f aca="false">M7-$M$5</f>
        <v>286.08</v>
      </c>
    </row>
    <row r="8" customFormat="false" ht="15" hidden="false" customHeight="false" outlineLevel="0" collapsed="false">
      <c r="A8" s="12" t="s">
        <v>600</v>
      </c>
      <c r="B8" s="11" t="n">
        <f aca="false">Inputs!$E$37</f>
        <v>1490</v>
      </c>
      <c r="C8" s="20" t="n">
        <f aca="false">Inputs_Yearly!$G$13*1.2</f>
        <v>1416</v>
      </c>
      <c r="D8" s="11" t="n">
        <f aca="false">Inputs!$E$34</f>
        <v>450</v>
      </c>
      <c r="E8" s="11" t="n">
        <f aca="false">Inputs!$E$73</f>
        <v>150</v>
      </c>
      <c r="F8" s="11" t="n">
        <f aca="false">Inputs!$E$42</f>
        <v>48</v>
      </c>
      <c r="G8" s="11" t="n">
        <f aca="false">Inputs_Yearly!$G$29</f>
        <v>11</v>
      </c>
      <c r="H8" s="13" t="n">
        <f aca="false">Inputs_Yearly!$G$9</f>
        <v>0.65</v>
      </c>
      <c r="I8" s="11" t="n">
        <f aca="false">Inputs_Yearly!$G$17</f>
        <v>60</v>
      </c>
      <c r="J8" s="11" t="n">
        <f aca="false">Inputs!$E$66</f>
        <v>0.6</v>
      </c>
      <c r="K8" s="13" t="n">
        <f aca="false">Inputs!$E$65</f>
        <v>0.04</v>
      </c>
      <c r="L8" s="13" t="n">
        <f aca="false">Inputs!$E$50</f>
        <v>0.7</v>
      </c>
      <c r="M8" s="27" t="n">
        <f aca="false">(D8+Inputs!$E$38+B8+5*F8+5*L8*(Inputs!$E$44*Inputs!$E$45+Inputs!$E$46*Inputs!$E$47+Inputs!$E$48*Inputs!$E$49)+Inputs!$E$53*Inputs!$E$52+Inputs!$E$55*Inputs!$E$54)-(Inputs!$E$59*(H8+Inputs!$E$60*(1-H8))+Inputs!$E$61*(1-H8)+I8+Inputs!$E$64+C8+K8*B8+5*(Inputs_Yearly!$G$25*G8+J8*Inputs!$E$67+Inputs!$E$68)+5*L8*(Inputs!$E$44*Inputs!$E$45+Inputs!$E$46*Inputs!$E$47+Inputs!$E$48*Inputs!$E$49)*Inputs!$E$69+Inputs!$E$53*Inputs!$E$52*Inputs!$E$70+Inputs!$E$55*Inputs!$E$54*Inputs!$E$71+E8)</f>
        <v>192.1</v>
      </c>
      <c r="N8" s="27" t="n">
        <f aca="false">M8-$M$5</f>
        <v>-236</v>
      </c>
    </row>
    <row r="9" customFormat="false" ht="15" hidden="false" customHeight="false" outlineLevel="0" collapsed="false">
      <c r="A9" s="12" t="s">
        <v>601</v>
      </c>
      <c r="B9" s="11" t="n">
        <f aca="false">Inputs!$E$37</f>
        <v>1490</v>
      </c>
      <c r="C9" s="20" t="n">
        <f aca="false">Inputs_Yearly!$G$13*0.8</f>
        <v>944</v>
      </c>
      <c r="D9" s="11" t="n">
        <f aca="false">Inputs!$E$34</f>
        <v>450</v>
      </c>
      <c r="E9" s="11" t="n">
        <f aca="false">Inputs!$E$73</f>
        <v>150</v>
      </c>
      <c r="F9" s="11" t="n">
        <f aca="false">Inputs!$E$42</f>
        <v>48</v>
      </c>
      <c r="G9" s="11" t="n">
        <f aca="false">Inputs_Yearly!$G$29</f>
        <v>11</v>
      </c>
      <c r="H9" s="13" t="n">
        <f aca="false">Inputs_Yearly!$G$9</f>
        <v>0.65</v>
      </c>
      <c r="I9" s="11" t="n">
        <f aca="false">Inputs_Yearly!$G$17</f>
        <v>60</v>
      </c>
      <c r="J9" s="11" t="n">
        <f aca="false">Inputs!$E$66</f>
        <v>0.6</v>
      </c>
      <c r="K9" s="13" t="n">
        <f aca="false">Inputs!$E$65</f>
        <v>0.04</v>
      </c>
      <c r="L9" s="13" t="n">
        <f aca="false">Inputs!$E$50</f>
        <v>0.7</v>
      </c>
      <c r="M9" s="27" t="n">
        <f aca="false">(D9+Inputs!$E$38+B9+5*F9+5*L9*(Inputs!$E$44*Inputs!$E$45+Inputs!$E$46*Inputs!$E$47+Inputs!$E$48*Inputs!$E$49)+Inputs!$E$53*Inputs!$E$52+Inputs!$E$55*Inputs!$E$54)-(Inputs!$E$59*(H9+Inputs!$E$60*(1-H9))+Inputs!$E$61*(1-H9)+I9+Inputs!$E$64+C9+K9*B9+5*(Inputs_Yearly!$G$25*G9+J9*Inputs!$E$67+Inputs!$E$68)+5*L9*(Inputs!$E$44*Inputs!$E$45+Inputs!$E$46*Inputs!$E$47+Inputs!$E$48*Inputs!$E$49)*Inputs!$E$69+Inputs!$E$53*Inputs!$E$52*Inputs!$E$70+Inputs!$E$55*Inputs!$E$54*Inputs!$E$71+E9)</f>
        <v>664.1</v>
      </c>
      <c r="N9" s="27" t="n">
        <f aca="false">M9-$M$5</f>
        <v>236</v>
      </c>
    </row>
    <row r="10" customFormat="false" ht="15" hidden="false" customHeight="false" outlineLevel="0" collapsed="false">
      <c r="A10" s="12" t="s">
        <v>602</v>
      </c>
      <c r="B10" s="11" t="n">
        <f aca="false">Inputs!$E$37</f>
        <v>1490</v>
      </c>
      <c r="C10" s="11" t="n">
        <f aca="false">Inputs_Yearly!$G$13</f>
        <v>1180</v>
      </c>
      <c r="D10" s="20" t="n">
        <f aca="false">Inputs!$E$34*0.8</f>
        <v>360</v>
      </c>
      <c r="E10" s="11" t="n">
        <f aca="false">Inputs!$E$73</f>
        <v>150</v>
      </c>
      <c r="F10" s="11" t="n">
        <f aca="false">Inputs!$E$42</f>
        <v>48</v>
      </c>
      <c r="G10" s="11" t="n">
        <f aca="false">Inputs_Yearly!$G$29</f>
        <v>11</v>
      </c>
      <c r="H10" s="13" t="n">
        <f aca="false">Inputs_Yearly!$G$9</f>
        <v>0.65</v>
      </c>
      <c r="I10" s="11" t="n">
        <f aca="false">Inputs_Yearly!$G$17</f>
        <v>60</v>
      </c>
      <c r="J10" s="11" t="n">
        <f aca="false">Inputs!$E$66</f>
        <v>0.6</v>
      </c>
      <c r="K10" s="13" t="n">
        <f aca="false">Inputs!$E$65</f>
        <v>0.04</v>
      </c>
      <c r="L10" s="13" t="n">
        <f aca="false">Inputs!$E$50</f>
        <v>0.7</v>
      </c>
      <c r="M10" s="27" t="n">
        <f aca="false">(D10+Inputs!$E$38+B10+5*F10+5*L10*(Inputs!$E$44*Inputs!$E$45+Inputs!$E$46*Inputs!$E$47+Inputs!$E$48*Inputs!$E$49)+Inputs!$E$53*Inputs!$E$52+Inputs!$E$55*Inputs!$E$54)-(Inputs!$E$59*(H10+Inputs!$E$60*(1-H10))+Inputs!$E$61*(1-H10)+I10+Inputs!$E$64+C10+K10*B10+5*(Inputs_Yearly!$G$25*G10+J10*Inputs!$E$67+Inputs!$E$68)+5*L10*(Inputs!$E$44*Inputs!$E$45+Inputs!$E$46*Inputs!$E$47+Inputs!$E$48*Inputs!$E$49)*Inputs!$E$69+Inputs!$E$53*Inputs!$E$52*Inputs!$E$70+Inputs!$E$55*Inputs!$E$54*Inputs!$E$71+E10)</f>
        <v>338.1</v>
      </c>
      <c r="N10" s="27" t="n">
        <f aca="false">M10-$M$5</f>
        <v>-90</v>
      </c>
    </row>
    <row r="11" customFormat="false" ht="15" hidden="false" customHeight="false" outlineLevel="0" collapsed="false">
      <c r="A11" s="12" t="s">
        <v>603</v>
      </c>
      <c r="B11" s="11" t="n">
        <f aca="false">Inputs!$E$37</f>
        <v>1490</v>
      </c>
      <c r="C11" s="11" t="n">
        <f aca="false">Inputs_Yearly!$G$13</f>
        <v>1180</v>
      </c>
      <c r="D11" s="20" t="n">
        <f aca="false">Inputs!$E$34*1.2</f>
        <v>540</v>
      </c>
      <c r="E11" s="11" t="n">
        <f aca="false">Inputs!$E$73</f>
        <v>150</v>
      </c>
      <c r="F11" s="11" t="n">
        <f aca="false">Inputs!$E$42</f>
        <v>48</v>
      </c>
      <c r="G11" s="11" t="n">
        <f aca="false">Inputs_Yearly!$G$29</f>
        <v>11</v>
      </c>
      <c r="H11" s="13" t="n">
        <f aca="false">Inputs_Yearly!$G$9</f>
        <v>0.65</v>
      </c>
      <c r="I11" s="11" t="n">
        <f aca="false">Inputs_Yearly!$G$17</f>
        <v>60</v>
      </c>
      <c r="J11" s="11" t="n">
        <f aca="false">Inputs!$E$66</f>
        <v>0.6</v>
      </c>
      <c r="K11" s="13" t="n">
        <f aca="false">Inputs!$E$65</f>
        <v>0.04</v>
      </c>
      <c r="L11" s="13" t="n">
        <f aca="false">Inputs!$E$50</f>
        <v>0.7</v>
      </c>
      <c r="M11" s="27" t="n">
        <f aca="false">(D11+Inputs!$E$38+B11+5*F11+5*L11*(Inputs!$E$44*Inputs!$E$45+Inputs!$E$46*Inputs!$E$47+Inputs!$E$48*Inputs!$E$49)+Inputs!$E$53*Inputs!$E$52+Inputs!$E$55*Inputs!$E$54)-(Inputs!$E$59*(H11+Inputs!$E$60*(1-H11))+Inputs!$E$61*(1-H11)+I11+Inputs!$E$64+C11+K11*B11+5*(Inputs_Yearly!$G$25*G11+J11*Inputs!$E$67+Inputs!$E$68)+5*L11*(Inputs!$E$44*Inputs!$E$45+Inputs!$E$46*Inputs!$E$47+Inputs!$E$48*Inputs!$E$49)*Inputs!$E$69+Inputs!$E$53*Inputs!$E$52*Inputs!$E$70+Inputs!$E$55*Inputs!$E$54*Inputs!$E$71+E11)</f>
        <v>518.1</v>
      </c>
      <c r="N11" s="27" t="n">
        <f aca="false">M11-$M$5</f>
        <v>90</v>
      </c>
    </row>
    <row r="12" customFormat="false" ht="15" hidden="false" customHeight="false" outlineLevel="0" collapsed="false">
      <c r="A12" s="10" t="s">
        <v>604</v>
      </c>
      <c r="B12" s="11" t="n">
        <f aca="false">Inputs!$E$37</f>
        <v>1490</v>
      </c>
      <c r="C12" s="11" t="n">
        <f aca="false">Inputs_Yearly!$G$13</f>
        <v>1180</v>
      </c>
      <c r="D12" s="11" t="n">
        <f aca="false">Inputs!$E$34</f>
        <v>450</v>
      </c>
      <c r="E12" s="20" t="n">
        <f aca="false">Inputs!$E$73*1.5</f>
        <v>225</v>
      </c>
      <c r="F12" s="11" t="n">
        <f aca="false">Inputs!$E$42</f>
        <v>48</v>
      </c>
      <c r="G12" s="11" t="n">
        <f aca="false">Inputs_Yearly!$G$29</f>
        <v>11</v>
      </c>
      <c r="H12" s="13" t="n">
        <f aca="false">Inputs_Yearly!$G$9</f>
        <v>0.65</v>
      </c>
      <c r="I12" s="11" t="n">
        <f aca="false">Inputs_Yearly!$G$17</f>
        <v>60</v>
      </c>
      <c r="J12" s="11" t="n">
        <f aca="false">Inputs!$E$66</f>
        <v>0.6</v>
      </c>
      <c r="K12" s="13" t="n">
        <f aca="false">Inputs!$E$65</f>
        <v>0.04</v>
      </c>
      <c r="L12" s="13" t="n">
        <f aca="false">Inputs!$E$50</f>
        <v>0.7</v>
      </c>
      <c r="M12" s="27" t="n">
        <f aca="false">(D12+Inputs!$E$38+B12+5*F12+5*L12*(Inputs!$E$44*Inputs!$E$45+Inputs!$E$46*Inputs!$E$47+Inputs!$E$48*Inputs!$E$49)+Inputs!$E$53*Inputs!$E$52+Inputs!$E$55*Inputs!$E$54)-(Inputs!$E$59*(H12+Inputs!$E$60*(1-H12))+Inputs!$E$61*(1-H12)+I12+Inputs!$E$64+C12+K12*B12+5*(Inputs_Yearly!$G$25*G12+J12*Inputs!$E$67+Inputs!$E$68)+5*L12*(Inputs!$E$44*Inputs!$E$45+Inputs!$E$46*Inputs!$E$47+Inputs!$E$48*Inputs!$E$49)*Inputs!$E$69+Inputs!$E$53*Inputs!$E$52*Inputs!$E$70+Inputs!$E$55*Inputs!$E$54*Inputs!$E$71+E12)</f>
        <v>353.1</v>
      </c>
      <c r="N12" s="27" t="n">
        <f aca="false">M12-$M$5</f>
        <v>-74.9999999999998</v>
      </c>
    </row>
    <row r="13" customFormat="false" ht="15" hidden="false" customHeight="false" outlineLevel="0" collapsed="false">
      <c r="A13" s="10" t="s">
        <v>605</v>
      </c>
      <c r="B13" s="11" t="n">
        <f aca="false">Inputs!$E$37</f>
        <v>1490</v>
      </c>
      <c r="C13" s="11" t="n">
        <f aca="false">Inputs_Yearly!$G$13</f>
        <v>1180</v>
      </c>
      <c r="D13" s="11" t="n">
        <f aca="false">Inputs!$E$34</f>
        <v>450</v>
      </c>
      <c r="E13" s="20" t="n">
        <f aca="false">Inputs!$E$73*0.5</f>
        <v>75</v>
      </c>
      <c r="F13" s="11" t="n">
        <f aca="false">Inputs!$E$42</f>
        <v>48</v>
      </c>
      <c r="G13" s="11" t="n">
        <f aca="false">Inputs_Yearly!$G$29</f>
        <v>11</v>
      </c>
      <c r="H13" s="13" t="n">
        <f aca="false">Inputs_Yearly!$G$9</f>
        <v>0.65</v>
      </c>
      <c r="I13" s="11" t="n">
        <f aca="false">Inputs_Yearly!$G$17</f>
        <v>60</v>
      </c>
      <c r="J13" s="11" t="n">
        <f aca="false">Inputs!$E$66</f>
        <v>0.6</v>
      </c>
      <c r="K13" s="13" t="n">
        <f aca="false">Inputs!$E$65</f>
        <v>0.04</v>
      </c>
      <c r="L13" s="13" t="n">
        <f aca="false">Inputs!$E$50</f>
        <v>0.7</v>
      </c>
      <c r="M13" s="27" t="n">
        <f aca="false">(D13+Inputs!$E$38+B13+5*F13+5*L13*(Inputs!$E$44*Inputs!$E$45+Inputs!$E$46*Inputs!$E$47+Inputs!$E$48*Inputs!$E$49)+Inputs!$E$53*Inputs!$E$52+Inputs!$E$55*Inputs!$E$54)-(Inputs!$E$59*(H13+Inputs!$E$60*(1-H13))+Inputs!$E$61*(1-H13)+I13+Inputs!$E$64+C13+K13*B13+5*(Inputs_Yearly!$G$25*G13+J13*Inputs!$E$67+Inputs!$E$68)+5*L13*(Inputs!$E$44*Inputs!$E$45+Inputs!$E$46*Inputs!$E$47+Inputs!$E$48*Inputs!$E$49)*Inputs!$E$69+Inputs!$E$53*Inputs!$E$52*Inputs!$E$70+Inputs!$E$55*Inputs!$E$54*Inputs!$E$71+E13)</f>
        <v>503.1</v>
      </c>
      <c r="N13" s="27" t="n">
        <f aca="false">M13-$M$5</f>
        <v>75</v>
      </c>
    </row>
    <row r="14" customFormat="false" ht="15" hidden="false" customHeight="false" outlineLevel="0" collapsed="false">
      <c r="A14" s="12" t="s">
        <v>606</v>
      </c>
      <c r="B14" s="11" t="n">
        <f aca="false">Inputs!$E$37</f>
        <v>1490</v>
      </c>
      <c r="C14" s="11" t="n">
        <f aca="false">Inputs_Yearly!$G$13</f>
        <v>1180</v>
      </c>
      <c r="D14" s="11" t="n">
        <f aca="false">Inputs!$E$34</f>
        <v>450</v>
      </c>
      <c r="E14" s="11" t="n">
        <f aca="false">Inputs!$E$73</f>
        <v>150</v>
      </c>
      <c r="F14" s="11" t="n">
        <f aca="false">Inputs!$E$42</f>
        <v>48</v>
      </c>
      <c r="G14" s="11" t="n">
        <f aca="false">Inputs_Yearly!$G$29</f>
        <v>11</v>
      </c>
      <c r="H14" s="13" t="n">
        <f aca="false">Inputs_Yearly!$G$9</f>
        <v>0.65</v>
      </c>
      <c r="I14" s="11" t="n">
        <f aca="false">Inputs_Yearly!$G$17</f>
        <v>60</v>
      </c>
      <c r="J14" s="20" t="n">
        <f aca="false">1.2</f>
        <v>1.2</v>
      </c>
      <c r="K14" s="19" t="n">
        <f aca="false">0.06</f>
        <v>0.06</v>
      </c>
      <c r="L14" s="13" t="n">
        <f aca="false">Inputs!$E$50</f>
        <v>0.7</v>
      </c>
      <c r="M14" s="27" t="n">
        <f aca="false">(D14+Inputs!$E$38+B14+5*F14+5*L14*(Inputs!$E$44*Inputs!$E$45+Inputs!$E$46*Inputs!$E$47+Inputs!$E$48*Inputs!$E$49)+Inputs!$E$53*Inputs!$E$52+Inputs!$E$55*Inputs!$E$54)-(Inputs!$E$59*(H14+Inputs!$E$60*(1-H14))+Inputs!$E$61*(1-H14)+I14+Inputs!$E$64+C14+K14*B14+5*(Inputs_Yearly!$G$25*G14+J14*Inputs!$E$67+Inputs!$E$68)+5*L14*(Inputs!$E$44*Inputs!$E$45+Inputs!$E$46*Inputs!$E$47+Inputs!$E$48*Inputs!$E$49)*Inputs!$E$69+Inputs!$E$53*Inputs!$E$52*Inputs!$E$70+Inputs!$E$55*Inputs!$E$54*Inputs!$E$71+E14)</f>
        <v>344.3</v>
      </c>
      <c r="N14" s="27" t="n">
        <f aca="false">M14-$M$5</f>
        <v>-83.8</v>
      </c>
    </row>
    <row r="15" customFormat="false" ht="15" hidden="false" customHeight="false" outlineLevel="0" collapsed="false">
      <c r="A15" s="12" t="s">
        <v>607</v>
      </c>
      <c r="B15" s="11" t="n">
        <f aca="false">Inputs!$E$37</f>
        <v>1490</v>
      </c>
      <c r="C15" s="11" t="n">
        <f aca="false">Inputs_Yearly!$G$13</f>
        <v>1180</v>
      </c>
      <c r="D15" s="11" t="n">
        <f aca="false">Inputs!$E$34</f>
        <v>450</v>
      </c>
      <c r="E15" s="11" t="n">
        <f aca="false">Inputs!$E$73</f>
        <v>150</v>
      </c>
      <c r="F15" s="11" t="n">
        <f aca="false">Inputs!$E$42</f>
        <v>48</v>
      </c>
      <c r="G15" s="11" t="n">
        <f aca="false">Inputs_Yearly!$G$29</f>
        <v>11</v>
      </c>
      <c r="H15" s="13" t="n">
        <f aca="false">Inputs_Yearly!$G$9</f>
        <v>0.65</v>
      </c>
      <c r="I15" s="11" t="n">
        <f aca="false">Inputs_Yearly!$G$17</f>
        <v>60</v>
      </c>
      <c r="J15" s="20" t="n">
        <f aca="false">0.3</f>
        <v>0.3</v>
      </c>
      <c r="K15" s="19" t="n">
        <f aca="false">0.025</f>
        <v>0.025</v>
      </c>
      <c r="L15" s="13" t="n">
        <f aca="false">Inputs!$E$50</f>
        <v>0.7</v>
      </c>
      <c r="M15" s="27" t="n">
        <f aca="false">(D15+Inputs!$E$38+B15+5*F15+5*L15*(Inputs!$E$44*Inputs!$E$45+Inputs!$E$46*Inputs!$E$47+Inputs!$E$48*Inputs!$E$49)+Inputs!$E$53*Inputs!$E$52+Inputs!$E$55*Inputs!$E$54)-(Inputs!$E$59*(H15+Inputs!$E$60*(1-H15))+Inputs!$E$61*(1-H15)+I15+Inputs!$E$64+C15+K15*B15+5*(Inputs_Yearly!$G$25*G15+J15*Inputs!$E$67+Inputs!$E$68)+5*L15*(Inputs!$E$44*Inputs!$E$45+Inputs!$E$46*Inputs!$E$47+Inputs!$E$48*Inputs!$E$49)*Inputs!$E$69+Inputs!$E$53*Inputs!$E$52*Inputs!$E$70+Inputs!$E$55*Inputs!$E$54*Inputs!$E$71+E15)</f>
        <v>477.45</v>
      </c>
      <c r="N15" s="27" t="n">
        <f aca="false">M15-$M$5</f>
        <v>49.3499999999999</v>
      </c>
    </row>
    <row r="16" customFormat="false" ht="15" hidden="false" customHeight="false" outlineLevel="0" collapsed="false">
      <c r="A16" s="12" t="s">
        <v>608</v>
      </c>
      <c r="B16" s="11" t="n">
        <f aca="false">Inputs!$E$37</f>
        <v>1490</v>
      </c>
      <c r="C16" s="11" t="n">
        <f aca="false">Inputs_Yearly!$G$13</f>
        <v>1180</v>
      </c>
      <c r="D16" s="11" t="n">
        <f aca="false">Inputs!$E$34</f>
        <v>450</v>
      </c>
      <c r="E16" s="11" t="n">
        <f aca="false">Inputs!$E$73</f>
        <v>150</v>
      </c>
      <c r="F16" s="20" t="n">
        <f aca="false">Inputs!$E$42*0.8</f>
        <v>38.4</v>
      </c>
      <c r="G16" s="11" t="n">
        <f aca="false">Inputs_Yearly!$G$29</f>
        <v>11</v>
      </c>
      <c r="H16" s="13" t="n">
        <f aca="false">Inputs_Yearly!$G$9</f>
        <v>0.65</v>
      </c>
      <c r="I16" s="11" t="n">
        <f aca="false">Inputs_Yearly!$G$17</f>
        <v>60</v>
      </c>
      <c r="J16" s="11" t="n">
        <f aca="false">Inputs!$E$66</f>
        <v>0.6</v>
      </c>
      <c r="K16" s="13" t="n">
        <f aca="false">Inputs!$E$65</f>
        <v>0.04</v>
      </c>
      <c r="L16" s="13" t="n">
        <f aca="false">Inputs!$E$50</f>
        <v>0.7</v>
      </c>
      <c r="M16" s="27" t="n">
        <f aca="false">(D16+Inputs!$E$38+B16+5*F16+5*L16*(Inputs!$E$44*Inputs!$E$45+Inputs!$E$46*Inputs!$E$47+Inputs!$E$48*Inputs!$E$49)+Inputs!$E$53*Inputs!$E$52+Inputs!$E$55*Inputs!$E$54)-(Inputs!$E$59*(H16+Inputs!$E$60*(1-H16))+Inputs!$E$61*(1-H16)+I16+Inputs!$E$64+C16+K16*B16+5*(Inputs_Yearly!$G$25*G16+J16*Inputs!$E$67+Inputs!$E$68)+5*L16*(Inputs!$E$44*Inputs!$E$45+Inputs!$E$46*Inputs!$E$47+Inputs!$E$48*Inputs!$E$49)*Inputs!$E$69+Inputs!$E$53*Inputs!$E$52*Inputs!$E$70+Inputs!$E$55*Inputs!$E$54*Inputs!$E$71+E16)</f>
        <v>380.1</v>
      </c>
      <c r="N16" s="27" t="n">
        <f aca="false">M16-$M$5</f>
        <v>-48</v>
      </c>
    </row>
    <row r="17" customFormat="false" ht="15" hidden="false" customHeight="false" outlineLevel="0" collapsed="false">
      <c r="A17" s="12" t="s">
        <v>609</v>
      </c>
      <c r="B17" s="11" t="n">
        <f aca="false">Inputs!$E$37</f>
        <v>1490</v>
      </c>
      <c r="C17" s="11" t="n">
        <f aca="false">Inputs_Yearly!$G$13</f>
        <v>1180</v>
      </c>
      <c r="D17" s="11" t="n">
        <f aca="false">Inputs!$E$34</f>
        <v>450</v>
      </c>
      <c r="E17" s="11" t="n">
        <f aca="false">Inputs!$E$73</f>
        <v>150</v>
      </c>
      <c r="F17" s="20" t="n">
        <f aca="false">Inputs!$E$42*1.2</f>
        <v>57.6</v>
      </c>
      <c r="G17" s="11" t="n">
        <f aca="false">Inputs_Yearly!$G$29</f>
        <v>11</v>
      </c>
      <c r="H17" s="13" t="n">
        <f aca="false">Inputs_Yearly!$G$9</f>
        <v>0.65</v>
      </c>
      <c r="I17" s="11" t="n">
        <f aca="false">Inputs_Yearly!$G$17</f>
        <v>60</v>
      </c>
      <c r="J17" s="11" t="n">
        <f aca="false">Inputs!$E$66</f>
        <v>0.6</v>
      </c>
      <c r="K17" s="13" t="n">
        <f aca="false">Inputs!$E$65</f>
        <v>0.04</v>
      </c>
      <c r="L17" s="13" t="n">
        <f aca="false">Inputs!$E$50</f>
        <v>0.7</v>
      </c>
      <c r="M17" s="27" t="n">
        <f aca="false">(D17+Inputs!$E$38+B17+5*F17+5*L17*(Inputs!$E$44*Inputs!$E$45+Inputs!$E$46*Inputs!$E$47+Inputs!$E$48*Inputs!$E$49)+Inputs!$E$53*Inputs!$E$52+Inputs!$E$55*Inputs!$E$54)-(Inputs!$E$59*(H17+Inputs!$E$60*(1-H17))+Inputs!$E$61*(1-H17)+I17+Inputs!$E$64+C17+K17*B17+5*(Inputs_Yearly!$G$25*G17+J17*Inputs!$E$67+Inputs!$E$68)+5*L17*(Inputs!$E$44*Inputs!$E$45+Inputs!$E$46*Inputs!$E$47+Inputs!$E$48*Inputs!$E$49)*Inputs!$E$69+Inputs!$E$53*Inputs!$E$52*Inputs!$E$70+Inputs!$E$55*Inputs!$E$54*Inputs!$E$71+E17)</f>
        <v>476.1</v>
      </c>
      <c r="N17" s="27" t="n">
        <f aca="false">M17-$M$5</f>
        <v>48</v>
      </c>
    </row>
    <row r="18" customFormat="false" ht="15" hidden="false" customHeight="false" outlineLevel="0" collapsed="false">
      <c r="A18" s="12" t="s">
        <v>610</v>
      </c>
      <c r="B18" s="11" t="n">
        <f aca="false">Inputs!$E$37</f>
        <v>1490</v>
      </c>
      <c r="C18" s="11" t="n">
        <f aca="false">Inputs_Yearly!$G$13</f>
        <v>1180</v>
      </c>
      <c r="D18" s="11" t="n">
        <f aca="false">Inputs!$E$34</f>
        <v>450</v>
      </c>
      <c r="E18" s="11" t="n">
        <f aca="false">Inputs!$E$73</f>
        <v>150</v>
      </c>
      <c r="F18" s="11" t="n">
        <f aca="false">Inputs!$E$42</f>
        <v>48</v>
      </c>
      <c r="G18" s="20" t="n">
        <f aca="false">Inputs_Yearly!$G$29*1.3</f>
        <v>14.3</v>
      </c>
      <c r="H18" s="13" t="n">
        <f aca="false">Inputs_Yearly!$G$9</f>
        <v>0.65</v>
      </c>
      <c r="I18" s="11" t="n">
        <f aca="false">Inputs_Yearly!$G$17</f>
        <v>60</v>
      </c>
      <c r="J18" s="11" t="n">
        <f aca="false">Inputs!$E$66</f>
        <v>0.6</v>
      </c>
      <c r="K18" s="13" t="n">
        <f aca="false">Inputs!$E$65</f>
        <v>0.04</v>
      </c>
      <c r="L18" s="13" t="n">
        <f aca="false">Inputs!$E$50</f>
        <v>0.7</v>
      </c>
      <c r="M18" s="27" t="n">
        <f aca="false">(D18+Inputs!$E$38+B18+5*F18+5*L18*(Inputs!$E$44*Inputs!$E$45+Inputs!$E$46*Inputs!$E$47+Inputs!$E$48*Inputs!$E$49)+Inputs!$E$53*Inputs!$E$52+Inputs!$E$55*Inputs!$E$54)-(Inputs!$E$59*(H18+Inputs!$E$60*(1-H18))+Inputs!$E$61*(1-H18)+I18+Inputs!$E$64+C18+K18*B18+5*(Inputs_Yearly!$G$25*G18+J18*Inputs!$E$67+Inputs!$E$68)+5*L18*(Inputs!$E$44*Inputs!$E$45+Inputs!$E$46*Inputs!$E$47+Inputs!$E$48*Inputs!$E$49)*Inputs!$E$69+Inputs!$E$53*Inputs!$E$52*Inputs!$E$70+Inputs!$E$55*Inputs!$E$54*Inputs!$E$71+E18)</f>
        <v>395.1</v>
      </c>
      <c r="N18" s="27" t="n">
        <f aca="false">M18-$M$5</f>
        <v>-33</v>
      </c>
    </row>
    <row r="19" customFormat="false" ht="15" hidden="false" customHeight="false" outlineLevel="0" collapsed="false">
      <c r="A19" s="12" t="s">
        <v>611</v>
      </c>
      <c r="B19" s="11" t="n">
        <f aca="false">Inputs!$E$37</f>
        <v>1490</v>
      </c>
      <c r="C19" s="11" t="n">
        <f aca="false">Inputs_Yearly!$G$13</f>
        <v>1180</v>
      </c>
      <c r="D19" s="11" t="n">
        <f aca="false">Inputs!$E$34</f>
        <v>450</v>
      </c>
      <c r="E19" s="11" t="n">
        <f aca="false">Inputs!$E$73</f>
        <v>150</v>
      </c>
      <c r="F19" s="11" t="n">
        <f aca="false">Inputs!$E$42</f>
        <v>48</v>
      </c>
      <c r="G19" s="20" t="n">
        <f aca="false">Inputs_Yearly!$G$29*0.7</f>
        <v>7.7</v>
      </c>
      <c r="H19" s="13" t="n">
        <f aca="false">Inputs_Yearly!$G$9</f>
        <v>0.65</v>
      </c>
      <c r="I19" s="11" t="n">
        <f aca="false">Inputs_Yearly!$G$17</f>
        <v>60</v>
      </c>
      <c r="J19" s="11" t="n">
        <f aca="false">Inputs!$E$66</f>
        <v>0.6</v>
      </c>
      <c r="K19" s="13" t="n">
        <f aca="false">Inputs!$E$65</f>
        <v>0.04</v>
      </c>
      <c r="L19" s="13" t="n">
        <f aca="false">Inputs!$E$50</f>
        <v>0.7</v>
      </c>
      <c r="M19" s="27" t="n">
        <f aca="false">(D19+Inputs!$E$38+B19+5*F19+5*L19*(Inputs!$E$44*Inputs!$E$45+Inputs!$E$46*Inputs!$E$47+Inputs!$E$48*Inputs!$E$49)+Inputs!$E$53*Inputs!$E$52+Inputs!$E$55*Inputs!$E$54)-(Inputs!$E$59*(H19+Inputs!$E$60*(1-H19))+Inputs!$E$61*(1-H19)+I19+Inputs!$E$64+C19+K19*B19+5*(Inputs_Yearly!$G$25*G19+J19*Inputs!$E$67+Inputs!$E$68)+5*L19*(Inputs!$E$44*Inputs!$E$45+Inputs!$E$46*Inputs!$E$47+Inputs!$E$48*Inputs!$E$49)*Inputs!$E$69+Inputs!$E$53*Inputs!$E$52*Inputs!$E$70+Inputs!$E$55*Inputs!$E$54*Inputs!$E$71+E19)</f>
        <v>461.1</v>
      </c>
      <c r="N19" s="27" t="n">
        <f aca="false">M19-$M$5</f>
        <v>33</v>
      </c>
    </row>
    <row r="20" customFormat="false" ht="15" hidden="false" customHeight="false" outlineLevel="0" collapsed="false">
      <c r="A20" s="12" t="s">
        <v>612</v>
      </c>
      <c r="B20" s="11" t="n">
        <f aca="false">Inputs!$E$37</f>
        <v>1490</v>
      </c>
      <c r="C20" s="11" t="n">
        <f aca="false">Inputs_Yearly!$G$13</f>
        <v>1180</v>
      </c>
      <c r="D20" s="11" t="n">
        <f aca="false">Inputs!$E$34</f>
        <v>450</v>
      </c>
      <c r="E20" s="11" t="n">
        <f aca="false">Inputs!$E$73</f>
        <v>150</v>
      </c>
      <c r="F20" s="11" t="n">
        <f aca="false">Inputs!$E$42</f>
        <v>48</v>
      </c>
      <c r="G20" s="11" t="n">
        <f aca="false">Inputs_Yearly!$G$29</f>
        <v>11</v>
      </c>
      <c r="H20" s="19" t="n">
        <f aca="false">Inputs_Yearly!$G$9-0.15</f>
        <v>0.5</v>
      </c>
      <c r="I20" s="11" t="n">
        <f aca="false">Inputs_Yearly!$G$17</f>
        <v>60</v>
      </c>
      <c r="J20" s="11" t="n">
        <f aca="false">Inputs!$E$66</f>
        <v>0.6</v>
      </c>
      <c r="K20" s="13" t="n">
        <f aca="false">Inputs!$E$65</f>
        <v>0.04</v>
      </c>
      <c r="L20" s="13" t="n">
        <f aca="false">Inputs!$E$50</f>
        <v>0.7</v>
      </c>
      <c r="M20" s="27" t="n">
        <f aca="false">(D20+Inputs!$E$38+B20+5*F20+5*L20*(Inputs!$E$44*Inputs!$E$45+Inputs!$E$46*Inputs!$E$47+Inputs!$E$48*Inputs!$E$49)+Inputs!$E$53*Inputs!$E$52+Inputs!$E$55*Inputs!$E$54)-(Inputs!$E$59*(H20+Inputs!$E$60*(1-H20))+Inputs!$E$61*(1-H20)+I20+Inputs!$E$64+C20+K20*B20+5*(Inputs_Yearly!$G$25*G20+J20*Inputs!$E$67+Inputs!$E$68)+5*L20*(Inputs!$E$44*Inputs!$E$45+Inputs!$E$46*Inputs!$E$47+Inputs!$E$48*Inputs!$E$49)*Inputs!$E$69+Inputs!$E$53*Inputs!$E$52*Inputs!$E$70+Inputs!$E$55*Inputs!$E$54*Inputs!$E$71+E20)</f>
        <v>395.1</v>
      </c>
      <c r="N20" s="27" t="n">
        <f aca="false">M20-$M$5</f>
        <v>-33</v>
      </c>
    </row>
    <row r="21" customFormat="false" ht="15" hidden="false" customHeight="false" outlineLevel="0" collapsed="false">
      <c r="A21" s="12" t="s">
        <v>613</v>
      </c>
      <c r="B21" s="11" t="n">
        <f aca="false">Inputs!$E$37</f>
        <v>1490</v>
      </c>
      <c r="C21" s="11" t="n">
        <f aca="false">Inputs_Yearly!$G$13</f>
        <v>1180</v>
      </c>
      <c r="D21" s="11" t="n">
        <f aca="false">Inputs!$E$34</f>
        <v>450</v>
      </c>
      <c r="E21" s="11" t="n">
        <f aca="false">Inputs!$E$73</f>
        <v>150</v>
      </c>
      <c r="F21" s="11" t="n">
        <f aca="false">Inputs!$E$42</f>
        <v>48</v>
      </c>
      <c r="G21" s="11" t="n">
        <f aca="false">Inputs_Yearly!$G$29</f>
        <v>11</v>
      </c>
      <c r="H21" s="19" t="n">
        <f aca="false">Inputs_Yearly!$G$9+0.15</f>
        <v>0.8</v>
      </c>
      <c r="I21" s="11" t="n">
        <f aca="false">Inputs_Yearly!$G$17</f>
        <v>60</v>
      </c>
      <c r="J21" s="11" t="n">
        <f aca="false">Inputs!$E$66</f>
        <v>0.6</v>
      </c>
      <c r="K21" s="13" t="n">
        <f aca="false">Inputs!$E$65</f>
        <v>0.04</v>
      </c>
      <c r="L21" s="13" t="n">
        <f aca="false">Inputs!$E$50</f>
        <v>0.7</v>
      </c>
      <c r="M21" s="27" t="n">
        <f aca="false">(D21+Inputs!$E$38+B21+5*F21+5*L21*(Inputs!$E$44*Inputs!$E$45+Inputs!$E$46*Inputs!$E$47+Inputs!$E$48*Inputs!$E$49)+Inputs!$E$53*Inputs!$E$52+Inputs!$E$55*Inputs!$E$54)-(Inputs!$E$59*(H21+Inputs!$E$60*(1-H21))+Inputs!$E$61*(1-H21)+I21+Inputs!$E$64+C21+K21*B21+5*(Inputs_Yearly!$G$25*G21+J21*Inputs!$E$67+Inputs!$E$68)+5*L21*(Inputs!$E$44*Inputs!$E$45+Inputs!$E$46*Inputs!$E$47+Inputs!$E$48*Inputs!$E$49)*Inputs!$E$69+Inputs!$E$53*Inputs!$E$52*Inputs!$E$70+Inputs!$E$55*Inputs!$E$54*Inputs!$E$71+E21)</f>
        <v>461.1</v>
      </c>
      <c r="N21" s="27" t="n">
        <f aca="false">M21-$M$5</f>
        <v>33</v>
      </c>
    </row>
    <row r="22" customFormat="false" ht="15" hidden="false" customHeight="false" outlineLevel="0" collapsed="false">
      <c r="A22" s="10" t="s">
        <v>614</v>
      </c>
      <c r="B22" s="11" t="n">
        <f aca="false">Inputs!$E$37</f>
        <v>1490</v>
      </c>
      <c r="C22" s="11" t="n">
        <f aca="false">Inputs_Yearly!$G$13</f>
        <v>1180</v>
      </c>
      <c r="D22" s="11" t="n">
        <f aca="false">Inputs!$E$34</f>
        <v>450</v>
      </c>
      <c r="E22" s="11" t="n">
        <f aca="false">Inputs!$E$73</f>
        <v>150</v>
      </c>
      <c r="F22" s="11" t="n">
        <f aca="false">Inputs!$E$42</f>
        <v>48</v>
      </c>
      <c r="G22" s="11" t="n">
        <f aca="false">Inputs_Yearly!$G$29</f>
        <v>11</v>
      </c>
      <c r="H22" s="13" t="n">
        <f aca="false">Inputs_Yearly!$G$9</f>
        <v>0.65</v>
      </c>
      <c r="I22" s="20" t="n">
        <f aca="false">Inputs_Yearly!$G$17*1.5</f>
        <v>90</v>
      </c>
      <c r="J22" s="11" t="n">
        <f aca="false">Inputs!$E$66</f>
        <v>0.6</v>
      </c>
      <c r="K22" s="13" t="n">
        <f aca="false">Inputs!$E$65</f>
        <v>0.04</v>
      </c>
      <c r="L22" s="13" t="n">
        <f aca="false">Inputs!$E$50</f>
        <v>0.7</v>
      </c>
      <c r="M22" s="27" t="n">
        <f aca="false">(D22+Inputs!$E$38+B22+5*F22+5*L22*(Inputs!$E$44*Inputs!$E$45+Inputs!$E$46*Inputs!$E$47+Inputs!$E$48*Inputs!$E$49)+Inputs!$E$53*Inputs!$E$52+Inputs!$E$55*Inputs!$E$54)-(Inputs!$E$59*(H22+Inputs!$E$60*(1-H22))+Inputs!$E$61*(1-H22)+I22+Inputs!$E$64+C22+K22*B22+5*(Inputs_Yearly!$G$25*G22+J22*Inputs!$E$67+Inputs!$E$68)+5*L22*(Inputs!$E$44*Inputs!$E$45+Inputs!$E$46*Inputs!$E$47+Inputs!$E$48*Inputs!$E$49)*Inputs!$E$69+Inputs!$E$53*Inputs!$E$52*Inputs!$E$70+Inputs!$E$55*Inputs!$E$54*Inputs!$E$71+E22)</f>
        <v>398.1</v>
      </c>
      <c r="N22" s="27" t="n">
        <f aca="false">M22-$M$5</f>
        <v>-30</v>
      </c>
    </row>
    <row r="23" customFormat="false" ht="15" hidden="false" customHeight="false" outlineLevel="0" collapsed="false">
      <c r="A23" s="10" t="s">
        <v>615</v>
      </c>
      <c r="B23" s="11" t="n">
        <f aca="false">Inputs!$E$37</f>
        <v>1490</v>
      </c>
      <c r="C23" s="11" t="n">
        <f aca="false">Inputs_Yearly!$G$13</f>
        <v>1180</v>
      </c>
      <c r="D23" s="11" t="n">
        <f aca="false">Inputs!$E$34</f>
        <v>450</v>
      </c>
      <c r="E23" s="11" t="n">
        <f aca="false">Inputs!$E$73</f>
        <v>150</v>
      </c>
      <c r="F23" s="11" t="n">
        <f aca="false">Inputs!$E$42</f>
        <v>48</v>
      </c>
      <c r="G23" s="11" t="n">
        <f aca="false">Inputs_Yearly!$G$29</f>
        <v>11</v>
      </c>
      <c r="H23" s="13" t="n">
        <f aca="false">Inputs_Yearly!$G$9</f>
        <v>0.65</v>
      </c>
      <c r="I23" s="20" t="n">
        <f aca="false">Inputs_Yearly!$G$17*0.5</f>
        <v>30</v>
      </c>
      <c r="J23" s="11" t="n">
        <f aca="false">Inputs!$E$66</f>
        <v>0.6</v>
      </c>
      <c r="K23" s="13" t="n">
        <f aca="false">Inputs!$E$65</f>
        <v>0.04</v>
      </c>
      <c r="L23" s="13" t="n">
        <f aca="false">Inputs!$E$50</f>
        <v>0.7</v>
      </c>
      <c r="M23" s="27" t="n">
        <f aca="false">(D23+Inputs!$E$38+B23+5*F23+5*L23*(Inputs!$E$44*Inputs!$E$45+Inputs!$E$46*Inputs!$E$47+Inputs!$E$48*Inputs!$E$49)+Inputs!$E$53*Inputs!$E$52+Inputs!$E$55*Inputs!$E$54)-(Inputs!$E$59*(H23+Inputs!$E$60*(1-H23))+Inputs!$E$61*(1-H23)+I23+Inputs!$E$64+C23+K23*B23+5*(Inputs_Yearly!$G$25*G23+J23*Inputs!$E$67+Inputs!$E$68)+5*L23*(Inputs!$E$44*Inputs!$E$45+Inputs!$E$46*Inputs!$E$47+Inputs!$E$48*Inputs!$E$49)*Inputs!$E$69+Inputs!$E$53*Inputs!$E$52*Inputs!$E$70+Inputs!$E$55*Inputs!$E$54*Inputs!$E$71+E23)</f>
        <v>458.1</v>
      </c>
      <c r="N23" s="27" t="n">
        <f aca="false">M23-$M$5</f>
        <v>30</v>
      </c>
    </row>
    <row r="24" customFormat="false" ht="15" hidden="false" customHeight="false" outlineLevel="0" collapsed="false">
      <c r="A24" s="12" t="s">
        <v>616</v>
      </c>
      <c r="B24" s="11" t="n">
        <f aca="false">Inputs!$E$37</f>
        <v>1490</v>
      </c>
      <c r="C24" s="11" t="n">
        <f aca="false">Inputs_Yearly!$G$13</f>
        <v>1180</v>
      </c>
      <c r="D24" s="11" t="n">
        <f aca="false">Inputs!$E$34</f>
        <v>450</v>
      </c>
      <c r="E24" s="11" t="n">
        <f aca="false">Inputs!$E$73</f>
        <v>150</v>
      </c>
      <c r="F24" s="11" t="n">
        <f aca="false">Inputs!$E$42</f>
        <v>48</v>
      </c>
      <c r="G24" s="11" t="n">
        <f aca="false">Inputs_Yearly!$G$29</f>
        <v>11</v>
      </c>
      <c r="H24" s="13" t="n">
        <f aca="false">Inputs_Yearly!$G$9</f>
        <v>0.65</v>
      </c>
      <c r="I24" s="11" t="n">
        <f aca="false">Inputs_Yearly!$G$17</f>
        <v>60</v>
      </c>
      <c r="J24" s="11" t="n">
        <f aca="false">Inputs!$E$66</f>
        <v>0.6</v>
      </c>
      <c r="K24" s="13" t="n">
        <f aca="false">Inputs!$E$65</f>
        <v>0.04</v>
      </c>
      <c r="L24" s="19" t="n">
        <f aca="false">0.5</f>
        <v>0.5</v>
      </c>
      <c r="M24" s="27" t="n">
        <f aca="false">(D24+Inputs!$E$38+B24+5*F24+5*L24*(Inputs!$E$44*Inputs!$E$45+Inputs!$E$46*Inputs!$E$47+Inputs!$E$48*Inputs!$E$49)+Inputs!$E$53*Inputs!$E$52+Inputs!$E$55*Inputs!$E$54)-(Inputs!$E$59*(H24+Inputs!$E$60*(1-H24))+Inputs!$E$61*(1-H24)+I24+Inputs!$E$64+C24+K24*B24+5*(Inputs_Yearly!$G$25*G24+J24*Inputs!$E$67+Inputs!$E$68)+5*L24*(Inputs!$E$44*Inputs!$E$45+Inputs!$E$46*Inputs!$E$47+Inputs!$E$48*Inputs!$E$49)*Inputs!$E$69+Inputs!$E$53*Inputs!$E$52*Inputs!$E$70+Inputs!$E$55*Inputs!$E$54*Inputs!$E$71+E24)</f>
        <v>404.7</v>
      </c>
      <c r="N24" s="27" t="n">
        <f aca="false">M24-$M$5</f>
        <v>-23.4000000000001</v>
      </c>
    </row>
    <row r="25" customFormat="false" ht="15" hidden="false" customHeight="false" outlineLevel="0" collapsed="false">
      <c r="A25" s="12" t="s">
        <v>617</v>
      </c>
      <c r="B25" s="11" t="n">
        <f aca="false">Inputs!$E$37</f>
        <v>1490</v>
      </c>
      <c r="C25" s="11" t="n">
        <f aca="false">Inputs_Yearly!$G$13</f>
        <v>1180</v>
      </c>
      <c r="D25" s="11" t="n">
        <f aca="false">Inputs!$E$34</f>
        <v>450</v>
      </c>
      <c r="E25" s="11" t="n">
        <f aca="false">Inputs!$E$73</f>
        <v>150</v>
      </c>
      <c r="F25" s="11" t="n">
        <f aca="false">Inputs!$E$42</f>
        <v>48</v>
      </c>
      <c r="G25" s="11" t="n">
        <f aca="false">Inputs_Yearly!$G$29</f>
        <v>11</v>
      </c>
      <c r="H25" s="13" t="n">
        <f aca="false">Inputs_Yearly!$G$9</f>
        <v>0.65</v>
      </c>
      <c r="I25" s="11" t="n">
        <f aca="false">Inputs_Yearly!$G$17</f>
        <v>60</v>
      </c>
      <c r="J25" s="11" t="n">
        <f aca="false">Inputs!$E$66</f>
        <v>0.6</v>
      </c>
      <c r="K25" s="13" t="n">
        <f aca="false">Inputs!$E$65</f>
        <v>0.04</v>
      </c>
      <c r="L25" s="19" t="n">
        <f aca="false">0.9</f>
        <v>0.9</v>
      </c>
      <c r="M25" s="27" t="n">
        <f aca="false">(D25+Inputs!$E$38+B25+5*F25+5*L25*(Inputs!$E$44*Inputs!$E$45+Inputs!$E$46*Inputs!$E$47+Inputs!$E$48*Inputs!$E$49)+Inputs!$E$53*Inputs!$E$52+Inputs!$E$55*Inputs!$E$54)-(Inputs!$E$59*(H25+Inputs!$E$60*(1-H25))+Inputs!$E$61*(1-H25)+I25+Inputs!$E$64+C25+K25*B25+5*(Inputs_Yearly!$G$25*G25+J25*Inputs!$E$67+Inputs!$E$68)+5*L25*(Inputs!$E$44*Inputs!$E$45+Inputs!$E$46*Inputs!$E$47+Inputs!$E$48*Inputs!$E$49)*Inputs!$E$69+Inputs!$E$53*Inputs!$E$52*Inputs!$E$70+Inputs!$E$55*Inputs!$E$54*Inputs!$E$71+E25)</f>
        <v>451.5</v>
      </c>
      <c r="N25" s="27" t="n">
        <f aca="false">M25-$M$5</f>
        <v>23.3999999999999</v>
      </c>
    </row>
    <row r="28" customFormat="false" ht="15" hidden="false" customHeight="false" outlineLevel="0" collapsed="false">
      <c r="A28" s="25" t="s">
        <v>618</v>
      </c>
    </row>
    <row r="29" customFormat="false" ht="15" hidden="false" customHeight="false" outlineLevel="0" collapsed="false">
      <c r="A29" s="9" t="s">
        <v>619</v>
      </c>
      <c r="B29" s="9" t="s">
        <v>620</v>
      </c>
      <c r="C29" s="9" t="s">
        <v>621</v>
      </c>
      <c r="D29" s="8"/>
      <c r="E29" s="8"/>
      <c r="F29" s="8"/>
      <c r="G29" s="8"/>
      <c r="H29" s="8"/>
      <c r="I29" s="8"/>
      <c r="J29" s="8"/>
      <c r="K29" s="8"/>
      <c r="L29" s="8"/>
    </row>
    <row r="30" customFormat="false" ht="15" hidden="false" customHeight="false" outlineLevel="0" collapsed="false">
      <c r="A30" s="18" t="s">
        <v>622</v>
      </c>
      <c r="B30" s="17" t="n">
        <v>230691.8</v>
      </c>
    </row>
    <row r="31" customFormat="false" ht="15" hidden="false" customHeight="false" outlineLevel="0" collapsed="false">
      <c r="A31" s="12" t="s">
        <v>623</v>
      </c>
      <c r="B31" s="17" t="n">
        <v>-142696.2</v>
      </c>
      <c r="C31" s="17" t="n">
        <v>142696.2</v>
      </c>
    </row>
    <row r="32" customFormat="false" ht="15" hidden="false" customHeight="false" outlineLevel="0" collapsed="false">
      <c r="A32" s="12" t="s">
        <v>624</v>
      </c>
      <c r="B32" s="17" t="n">
        <v>-81695.7</v>
      </c>
      <c r="C32" s="17" t="n">
        <v>81695.7</v>
      </c>
    </row>
    <row r="33" customFormat="false" ht="15" hidden="false" customHeight="false" outlineLevel="0" collapsed="false">
      <c r="A33" s="12" t="s">
        <v>625</v>
      </c>
      <c r="B33" s="17" t="n">
        <v>-46636.7</v>
      </c>
      <c r="C33" s="17" t="n">
        <v>46636.7</v>
      </c>
    </row>
    <row r="34" customFormat="false" ht="15" hidden="false" customHeight="false" outlineLevel="0" collapsed="false">
      <c r="A34" s="12" t="s">
        <v>626</v>
      </c>
      <c r="B34" s="17" t="n">
        <v>-33169.3</v>
      </c>
      <c r="C34" s="17" t="n">
        <v>33169.3</v>
      </c>
    </row>
    <row r="35" customFormat="false" ht="15" hidden="false" customHeight="false" outlineLevel="0" collapsed="false">
      <c r="A35" s="12" t="s">
        <v>627</v>
      </c>
      <c r="B35" s="17" t="n">
        <v>-30175</v>
      </c>
      <c r="C35" s="17" t="n">
        <v>15087.5</v>
      </c>
    </row>
    <row r="36" customFormat="false" ht="15" hidden="false" customHeight="false" outlineLevel="0" collapsed="false">
      <c r="A36" s="12" t="s">
        <v>628</v>
      </c>
      <c r="B36" s="17" t="n">
        <v>-13965.8</v>
      </c>
      <c r="C36" s="17" t="n">
        <v>13965.8</v>
      </c>
    </row>
    <row r="37" customFormat="false" ht="15" hidden="false" customHeight="false" outlineLevel="0" collapsed="false">
      <c r="A37" s="12" t="s">
        <v>629</v>
      </c>
      <c r="B37" s="17" t="n">
        <v>-16468.6</v>
      </c>
      <c r="C37" s="17" t="n">
        <v>11378.9</v>
      </c>
    </row>
    <row r="38" customFormat="false" ht="15" hidden="false" customHeight="false" outlineLevel="0" collapsed="false">
      <c r="A38" s="12" t="s">
        <v>630</v>
      </c>
      <c r="B38" s="17" t="n">
        <v>-13200</v>
      </c>
      <c r="C38" s="17" t="n">
        <v>8800</v>
      </c>
    </row>
    <row r="39" customFormat="false" ht="15" hidden="false" customHeight="false" outlineLevel="0" collapsed="false">
      <c r="A39" s="10" t="s">
        <v>631</v>
      </c>
      <c r="B39" s="17" t="n">
        <v>-9384.1</v>
      </c>
      <c r="C39" s="17" t="n">
        <v>9384.1</v>
      </c>
    </row>
    <row r="40" customFormat="false" ht="15" hidden="false" customHeight="false" outlineLevel="0" collapsed="false">
      <c r="A40" s="10" t="s">
        <v>632</v>
      </c>
      <c r="B40" s="17" t="n">
        <v>-7675.2</v>
      </c>
      <c r="C40" s="17" t="n">
        <v>7675.2</v>
      </c>
    </row>
    <row r="41" customFormat="false" ht="15" hidden="false" customHeight="false" outlineLevel="0" collapsed="false">
      <c r="A41" s="12" t="s">
        <v>633</v>
      </c>
      <c r="B41" s="17" t="n">
        <v>-1296.7</v>
      </c>
      <c r="C41" s="17" t="n">
        <v>1296.7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4" min="11" style="0" width="13"/>
  </cols>
  <sheetData>
    <row r="1" customFormat="false" ht="19.4" hidden="false" customHeight="false" outlineLevel="0" collapsed="false">
      <c r="A1" s="6" t="s">
        <v>634</v>
      </c>
    </row>
    <row r="2" customFormat="false" ht="15" hidden="false" customHeight="false" outlineLevel="0" collapsed="false">
      <c r="A2" s="7" t="s">
        <v>635</v>
      </c>
    </row>
    <row r="4" customFormat="false" ht="25.35" hidden="false" customHeight="false" outlineLevel="0" collapsed="false">
      <c r="A4" s="8" t="s">
        <v>48</v>
      </c>
      <c r="B4" s="9" t="s">
        <v>636</v>
      </c>
      <c r="C4" s="9" t="s">
        <v>637</v>
      </c>
      <c r="D4" s="9" t="s">
        <v>638</v>
      </c>
      <c r="E4" s="9" t="s">
        <v>639</v>
      </c>
      <c r="F4" s="8" t="s">
        <v>640</v>
      </c>
      <c r="G4" s="8" t="s">
        <v>641</v>
      </c>
      <c r="H4" s="8" t="s">
        <v>642</v>
      </c>
      <c r="I4" s="8" t="s">
        <v>643</v>
      </c>
      <c r="J4" s="8" t="s">
        <v>644</v>
      </c>
      <c r="K4" s="8" t="s">
        <v>645</v>
      </c>
      <c r="L4" s="8" t="s">
        <v>646</v>
      </c>
      <c r="M4" s="8" t="s">
        <v>647</v>
      </c>
      <c r="N4" s="8" t="s">
        <v>648</v>
      </c>
    </row>
    <row r="5" customFormat="false" ht="15" hidden="false" customHeight="false" outlineLevel="0" collapsed="false">
      <c r="A5" s="12" t="s">
        <v>649</v>
      </c>
      <c r="B5" s="10" t="s">
        <v>650</v>
      </c>
      <c r="C5" s="12" t="s">
        <v>651</v>
      </c>
      <c r="D5" s="17" t="n">
        <v>1</v>
      </c>
      <c r="E5" s="17" t="n">
        <v>6000</v>
      </c>
      <c r="F5" s="20" t="n">
        <v>1</v>
      </c>
      <c r="G5" s="19" t="n">
        <v>0.5</v>
      </c>
      <c r="H5" s="10" t="s">
        <v>652</v>
      </c>
      <c r="I5" s="27" t="n">
        <f aca="false">IF(D5&lt;=12,13-D5,0)*F5</f>
        <v>12</v>
      </c>
      <c r="J5" s="27" t="n">
        <f aca="false">IF(D5&lt;=13,12,MAX(0,25-D5))*F5</f>
        <v>12</v>
      </c>
      <c r="K5" s="27" t="n">
        <f aca="false">E5*I5/12</f>
        <v>6000</v>
      </c>
      <c r="L5" s="27" t="n">
        <f aca="false">E5*J5/12</f>
        <v>6000</v>
      </c>
      <c r="M5" s="27" t="n">
        <f aca="false">IF(OR(C5="R&amp;D",C5="Founder"),K5*G5,0)</f>
        <v>3000</v>
      </c>
      <c r="N5" s="27" t="n">
        <f aca="false">IF(OR(C5="R&amp;D",C5="Founder"),L5*G5,0)</f>
        <v>3000</v>
      </c>
    </row>
    <row r="6" customFormat="false" ht="15" hidden="false" customHeight="false" outlineLevel="0" collapsed="false">
      <c r="A6" s="12" t="s">
        <v>653</v>
      </c>
      <c r="B6" s="10" t="s">
        <v>654</v>
      </c>
      <c r="C6" s="12" t="s">
        <v>651</v>
      </c>
      <c r="D6" s="17" t="n">
        <v>1</v>
      </c>
      <c r="E6" s="17" t="n">
        <v>6000</v>
      </c>
      <c r="F6" s="20" t="n">
        <v>1</v>
      </c>
      <c r="G6" s="19" t="n">
        <v>0.6</v>
      </c>
      <c r="H6" s="10" t="s">
        <v>652</v>
      </c>
      <c r="I6" s="27" t="n">
        <f aca="false">IF(D6&lt;=12,13-D6,0)*F6</f>
        <v>12</v>
      </c>
      <c r="J6" s="27" t="n">
        <f aca="false">IF(D6&lt;=13,12,MAX(0,25-D6))*F6</f>
        <v>12</v>
      </c>
      <c r="K6" s="27" t="n">
        <f aca="false">E6*I6/12</f>
        <v>6000</v>
      </c>
      <c r="L6" s="27" t="n">
        <f aca="false">E6*J6/12</f>
        <v>6000</v>
      </c>
      <c r="M6" s="27" t="n">
        <f aca="false">IF(OR(C6="R&amp;D",C6="Founder"),K6*G6,0)</f>
        <v>3600</v>
      </c>
      <c r="N6" s="27" t="n">
        <f aca="false">IF(OR(C6="R&amp;D",C6="Founder"),L6*G6,0)</f>
        <v>3600</v>
      </c>
    </row>
    <row r="7" customFormat="false" ht="15" hidden="false" customHeight="false" outlineLevel="0" collapsed="false">
      <c r="A7" s="12" t="s">
        <v>655</v>
      </c>
      <c r="B7" s="12" t="s">
        <v>656</v>
      </c>
      <c r="C7" s="12" t="s">
        <v>657</v>
      </c>
      <c r="D7" s="17" t="n">
        <v>1</v>
      </c>
      <c r="E7" s="17" t="n">
        <v>9600</v>
      </c>
      <c r="F7" s="20" t="n">
        <v>1</v>
      </c>
      <c r="G7" s="19" t="n">
        <v>0.5</v>
      </c>
      <c r="H7" s="10" t="s">
        <v>652</v>
      </c>
      <c r="I7" s="27" t="n">
        <f aca="false">IF(D7&lt;=12,13-D7,0)*F7</f>
        <v>12</v>
      </c>
      <c r="J7" s="27" t="n">
        <f aca="false">IF(D7&lt;=13,12,MAX(0,25-D7))*F7</f>
        <v>12</v>
      </c>
      <c r="K7" s="27" t="n">
        <f aca="false">E7*I7/12</f>
        <v>9600</v>
      </c>
      <c r="L7" s="27" t="n">
        <f aca="false">E7*J7/12</f>
        <v>9600</v>
      </c>
      <c r="M7" s="27" t="n">
        <f aca="false">IF(OR(C7="R&amp;D",C7="Founder"),K7*G7,0)</f>
        <v>4800</v>
      </c>
      <c r="N7" s="27" t="n">
        <f aca="false">IF(OR(C7="R&amp;D",C7="Founder"),L7*G7,0)</f>
        <v>4800</v>
      </c>
    </row>
    <row r="8" customFormat="false" ht="15" hidden="false" customHeight="false" outlineLevel="0" collapsed="false">
      <c r="A8" s="12" t="s">
        <v>658</v>
      </c>
      <c r="B8" s="12" t="s">
        <v>659</v>
      </c>
      <c r="C8" s="12" t="s">
        <v>657</v>
      </c>
      <c r="D8" s="17" t="n">
        <v>2</v>
      </c>
      <c r="E8" s="17" t="n">
        <v>9600</v>
      </c>
      <c r="F8" s="20" t="n">
        <v>1</v>
      </c>
      <c r="G8" s="19" t="n">
        <v>0.5</v>
      </c>
      <c r="H8" s="10" t="s">
        <v>652</v>
      </c>
      <c r="I8" s="27" t="n">
        <f aca="false">IF(D8&lt;=12,13-D8,0)*F8</f>
        <v>11</v>
      </c>
      <c r="J8" s="27" t="n">
        <f aca="false">IF(D8&lt;=13,12,MAX(0,25-D8))*F8</f>
        <v>12</v>
      </c>
      <c r="K8" s="27" t="n">
        <f aca="false">E8*I8/12</f>
        <v>8800</v>
      </c>
      <c r="L8" s="27" t="n">
        <f aca="false">E8*J8/12</f>
        <v>9600</v>
      </c>
      <c r="M8" s="27" t="n">
        <f aca="false">IF(OR(C8="R&amp;D",C8="Founder"),K8*G8,0)</f>
        <v>4400</v>
      </c>
      <c r="N8" s="27" t="n">
        <f aca="false">IF(OR(C8="R&amp;D",C8="Founder"),L8*G8,0)</f>
        <v>4800</v>
      </c>
    </row>
    <row r="9" customFormat="false" ht="15" hidden="false" customHeight="false" outlineLevel="0" collapsed="false">
      <c r="A9" s="12" t="s">
        <v>660</v>
      </c>
      <c r="B9" s="12" t="s">
        <v>661</v>
      </c>
      <c r="C9" s="12" t="s">
        <v>657</v>
      </c>
      <c r="D9" s="17" t="n">
        <v>2</v>
      </c>
      <c r="E9" s="17" t="n">
        <v>9600</v>
      </c>
      <c r="F9" s="20" t="n">
        <v>1</v>
      </c>
      <c r="G9" s="19" t="n">
        <v>0.6</v>
      </c>
      <c r="H9" s="10" t="s">
        <v>652</v>
      </c>
      <c r="I9" s="27" t="n">
        <f aca="false">IF(D9&lt;=12,13-D9,0)*F9</f>
        <v>11</v>
      </c>
      <c r="J9" s="27" t="n">
        <f aca="false">IF(D9&lt;=13,12,MAX(0,25-D9))*F9</f>
        <v>12</v>
      </c>
      <c r="K9" s="27" t="n">
        <f aca="false">E9*I9/12</f>
        <v>8800</v>
      </c>
      <c r="L9" s="27" t="n">
        <f aca="false">E9*J9/12</f>
        <v>9600</v>
      </c>
      <c r="M9" s="27" t="n">
        <f aca="false">IF(OR(C9="R&amp;D",C9="Founder"),K9*G9,0)</f>
        <v>5280</v>
      </c>
      <c r="N9" s="27" t="n">
        <f aca="false">IF(OR(C9="R&amp;D",C9="Founder"),L9*G9,0)</f>
        <v>5760</v>
      </c>
    </row>
    <row r="10" customFormat="false" ht="15" hidden="false" customHeight="false" outlineLevel="0" collapsed="false">
      <c r="A10" s="12" t="s">
        <v>662</v>
      </c>
      <c r="B10" s="10" t="s">
        <v>663</v>
      </c>
      <c r="C10" s="12" t="s">
        <v>657</v>
      </c>
      <c r="D10" s="17" t="n">
        <v>4</v>
      </c>
      <c r="E10" s="17" t="n">
        <v>7800</v>
      </c>
      <c r="F10" s="20" t="n">
        <v>1</v>
      </c>
      <c r="G10" s="19" t="n">
        <v>0.5</v>
      </c>
      <c r="H10" s="10" t="s">
        <v>652</v>
      </c>
      <c r="I10" s="27" t="n">
        <f aca="false">IF(D10&lt;=12,13-D10,0)*F10</f>
        <v>9</v>
      </c>
      <c r="J10" s="27" t="n">
        <f aca="false">IF(D10&lt;=13,12,MAX(0,25-D10))*F10</f>
        <v>12</v>
      </c>
      <c r="K10" s="27" t="n">
        <f aca="false">E10*I10/12</f>
        <v>5850</v>
      </c>
      <c r="L10" s="27" t="n">
        <f aca="false">E10*J10/12</f>
        <v>7800</v>
      </c>
      <c r="M10" s="27" t="n">
        <f aca="false">IF(OR(C10="R&amp;D",C10="Founder"),K10*G10,0)</f>
        <v>2925</v>
      </c>
      <c r="N10" s="27" t="n">
        <f aca="false">IF(OR(C10="R&amp;D",C10="Founder"),L10*G10,0)</f>
        <v>3900</v>
      </c>
    </row>
    <row r="11" customFormat="false" ht="15" hidden="false" customHeight="false" outlineLevel="0" collapsed="false">
      <c r="A11" s="12" t="s">
        <v>664</v>
      </c>
      <c r="B11" s="12" t="s">
        <v>665</v>
      </c>
      <c r="C11" s="12" t="s">
        <v>657</v>
      </c>
      <c r="D11" s="17" t="n">
        <v>6</v>
      </c>
      <c r="E11" s="17" t="n">
        <v>7800</v>
      </c>
      <c r="F11" s="20" t="n">
        <v>1</v>
      </c>
      <c r="G11" s="19" t="n">
        <v>0.5</v>
      </c>
      <c r="H11" s="10" t="s">
        <v>652</v>
      </c>
      <c r="I11" s="27" t="n">
        <f aca="false">IF(D11&lt;=12,13-D11,0)*F11</f>
        <v>7</v>
      </c>
      <c r="J11" s="27" t="n">
        <f aca="false">IF(D11&lt;=13,12,MAX(0,25-D11))*F11</f>
        <v>12</v>
      </c>
      <c r="K11" s="27" t="n">
        <f aca="false">E11*I11/12</f>
        <v>4550</v>
      </c>
      <c r="L11" s="27" t="n">
        <f aca="false">E11*J11/12</f>
        <v>7800</v>
      </c>
      <c r="M11" s="27" t="n">
        <f aca="false">IF(OR(C11="R&amp;D",C11="Founder"),K11*G11,0)</f>
        <v>2275</v>
      </c>
      <c r="N11" s="27" t="n">
        <f aca="false">IF(OR(C11="R&amp;D",C11="Founder"),L11*G11,0)</f>
        <v>3900</v>
      </c>
    </row>
    <row r="12" customFormat="false" ht="15" hidden="false" customHeight="false" outlineLevel="0" collapsed="false">
      <c r="A12" s="12" t="s">
        <v>666</v>
      </c>
      <c r="B12" s="10" t="s">
        <v>667</v>
      </c>
      <c r="C12" s="10" t="s">
        <v>668</v>
      </c>
      <c r="D12" s="17" t="n">
        <v>7</v>
      </c>
      <c r="E12" s="17" t="n">
        <v>7200</v>
      </c>
      <c r="F12" s="20" t="n">
        <v>1</v>
      </c>
      <c r="G12" s="19" t="n">
        <v>0</v>
      </c>
      <c r="H12" s="10" t="s">
        <v>652</v>
      </c>
      <c r="I12" s="27" t="n">
        <f aca="false">IF(D12&lt;=12,13-D12,0)*F12</f>
        <v>6</v>
      </c>
      <c r="J12" s="27" t="n">
        <f aca="false">IF(D12&lt;=13,12,MAX(0,25-D12))*F12</f>
        <v>12</v>
      </c>
      <c r="K12" s="27" t="n">
        <f aca="false">E12*I12/12</f>
        <v>3600</v>
      </c>
      <c r="L12" s="27" t="n">
        <f aca="false">E12*J12/12</f>
        <v>7200</v>
      </c>
      <c r="M12" s="27" t="n">
        <f aca="false">IF(OR(C12="R&amp;D",C12="Founder"),K12*G12,0)</f>
        <v>0</v>
      </c>
      <c r="N12" s="27" t="n">
        <f aca="false">IF(OR(C12="R&amp;D",C12="Founder"),L12*G12,0)</f>
        <v>0</v>
      </c>
    </row>
    <row r="13" customFormat="false" ht="15" hidden="false" customHeight="false" outlineLevel="0" collapsed="false">
      <c r="A13" s="12" t="s">
        <v>669</v>
      </c>
      <c r="B13" s="12" t="s">
        <v>670</v>
      </c>
      <c r="C13" s="12" t="s">
        <v>657</v>
      </c>
      <c r="D13" s="17" t="n">
        <v>10</v>
      </c>
      <c r="E13" s="17" t="n">
        <v>7800</v>
      </c>
      <c r="F13" s="20" t="n">
        <v>1</v>
      </c>
      <c r="G13" s="19" t="n">
        <v>0.5</v>
      </c>
      <c r="H13" s="10" t="s">
        <v>671</v>
      </c>
      <c r="I13" s="27" t="n">
        <f aca="false">IF(D13&lt;=12,13-D13,0)*F13</f>
        <v>3</v>
      </c>
      <c r="J13" s="27" t="n">
        <f aca="false">IF(D13&lt;=13,12,MAX(0,25-D13))*F13</f>
        <v>12</v>
      </c>
      <c r="K13" s="27" t="n">
        <f aca="false">E13*I13/12</f>
        <v>1950</v>
      </c>
      <c r="L13" s="27" t="n">
        <f aca="false">E13*J13/12</f>
        <v>7800</v>
      </c>
      <c r="M13" s="27" t="n">
        <f aca="false">IF(OR(C13="R&amp;D",C13="Founder"),K13*G13,0)</f>
        <v>975</v>
      </c>
      <c r="N13" s="27" t="n">
        <f aca="false">IF(OR(C13="R&amp;D",C13="Founder"),L13*G13,0)</f>
        <v>3900</v>
      </c>
    </row>
    <row r="14" customFormat="false" ht="15" hidden="false" customHeight="false" outlineLevel="0" collapsed="false">
      <c r="A14" s="12" t="s">
        <v>672</v>
      </c>
      <c r="B14" s="10" t="s">
        <v>673</v>
      </c>
      <c r="C14" s="10" t="s">
        <v>674</v>
      </c>
      <c r="D14" s="17" t="n">
        <v>10</v>
      </c>
      <c r="E14" s="17" t="n">
        <v>5400</v>
      </c>
      <c r="F14" s="20" t="n">
        <v>0.5</v>
      </c>
      <c r="G14" s="19" t="n">
        <v>0</v>
      </c>
      <c r="H14" s="10" t="s">
        <v>652</v>
      </c>
      <c r="I14" s="27" t="n">
        <f aca="false">IF(D14&lt;=12,13-D14,0)*F14</f>
        <v>1.5</v>
      </c>
      <c r="J14" s="27" t="n">
        <f aca="false">IF(D14&lt;=13,12,MAX(0,25-D14))*F14</f>
        <v>6</v>
      </c>
      <c r="K14" s="27" t="n">
        <f aca="false">E14*I14/12</f>
        <v>675</v>
      </c>
      <c r="L14" s="27" t="n">
        <f aca="false">E14*J14/12</f>
        <v>2700</v>
      </c>
      <c r="M14" s="27" t="n">
        <f aca="false">IF(OR(C14="R&amp;D",C14="Founder"),K14*G14,0)</f>
        <v>0</v>
      </c>
      <c r="N14" s="27" t="n">
        <f aca="false">IF(OR(C14="R&amp;D",C14="Founder"),L14*G14,0)</f>
        <v>0</v>
      </c>
    </row>
    <row r="15" customFormat="false" ht="15" hidden="false" customHeight="false" outlineLevel="0" collapsed="false">
      <c r="A15" s="12" t="s">
        <v>675</v>
      </c>
      <c r="B15" s="10" t="s">
        <v>676</v>
      </c>
      <c r="C15" s="12" t="s">
        <v>657</v>
      </c>
      <c r="D15" s="17" t="n">
        <v>13</v>
      </c>
      <c r="E15" s="17" t="n">
        <v>7800</v>
      </c>
      <c r="F15" s="20" t="n">
        <v>1</v>
      </c>
      <c r="G15" s="19" t="n">
        <v>0.4</v>
      </c>
      <c r="H15" s="10" t="s">
        <v>677</v>
      </c>
      <c r="I15" s="27" t="n">
        <f aca="false">IF(D15&lt;=12,13-D15,0)*F15</f>
        <v>0</v>
      </c>
      <c r="J15" s="27" t="n">
        <f aca="false">IF(D15&lt;=13,12,MAX(0,25-D15))*F15</f>
        <v>12</v>
      </c>
      <c r="K15" s="27" t="n">
        <f aca="false">E15*I15/12</f>
        <v>0</v>
      </c>
      <c r="L15" s="27" t="n">
        <f aca="false">E15*J15/12</f>
        <v>7800</v>
      </c>
      <c r="M15" s="27" t="n">
        <f aca="false">IF(OR(C15="R&amp;D",C15="Founder"),K15*G15,0)</f>
        <v>0</v>
      </c>
      <c r="N15" s="27" t="n">
        <f aca="false">IF(OR(C15="R&amp;D",C15="Founder"),L15*G15,0)</f>
        <v>3120</v>
      </c>
    </row>
    <row r="16" customFormat="false" ht="15" hidden="false" customHeight="false" outlineLevel="0" collapsed="false">
      <c r="A16" s="12" t="s">
        <v>678</v>
      </c>
      <c r="B16" s="10" t="s">
        <v>679</v>
      </c>
      <c r="C16" s="10" t="s">
        <v>680</v>
      </c>
      <c r="D16" s="17" t="n">
        <v>13</v>
      </c>
      <c r="E16" s="17" t="n">
        <v>6600</v>
      </c>
      <c r="F16" s="20" t="n">
        <v>1</v>
      </c>
      <c r="G16" s="19" t="n">
        <v>0</v>
      </c>
      <c r="H16" s="10" t="s">
        <v>652</v>
      </c>
      <c r="I16" s="27" t="n">
        <f aca="false">IF(D16&lt;=12,13-D16,0)*F16</f>
        <v>0</v>
      </c>
      <c r="J16" s="27" t="n">
        <f aca="false">IF(D16&lt;=13,12,MAX(0,25-D16))*F16</f>
        <v>12</v>
      </c>
      <c r="K16" s="27" t="n">
        <f aca="false">E16*I16/12</f>
        <v>0</v>
      </c>
      <c r="L16" s="27" t="n">
        <f aca="false">E16*J16/12</f>
        <v>6600</v>
      </c>
      <c r="M16" s="27" t="n">
        <f aca="false">IF(OR(C16="R&amp;D",C16="Founder"),K16*G16,0)</f>
        <v>0</v>
      </c>
      <c r="N16" s="27" t="n">
        <f aca="false">IF(OR(C16="R&amp;D",C16="Founder"),L16*G16,0)</f>
        <v>0</v>
      </c>
    </row>
    <row r="17" customFormat="false" ht="15" hidden="false" customHeight="false" outlineLevel="0" collapsed="false">
      <c r="A17" s="12" t="s">
        <v>681</v>
      </c>
      <c r="B17" s="12" t="s">
        <v>682</v>
      </c>
      <c r="C17" s="12" t="s">
        <v>657</v>
      </c>
      <c r="D17" s="17" t="n">
        <v>16</v>
      </c>
      <c r="E17" s="17" t="n">
        <v>7800</v>
      </c>
      <c r="F17" s="20" t="n">
        <v>1</v>
      </c>
      <c r="G17" s="19" t="n">
        <v>0.4</v>
      </c>
      <c r="H17" s="10" t="s">
        <v>671</v>
      </c>
      <c r="I17" s="27" t="n">
        <f aca="false">IF(D17&lt;=12,13-D17,0)*F17</f>
        <v>0</v>
      </c>
      <c r="J17" s="27" t="n">
        <f aca="false">IF(D17&lt;=13,12,MAX(0,25-D17))*F17</f>
        <v>9</v>
      </c>
      <c r="K17" s="27" t="n">
        <f aca="false">E17*I17/12</f>
        <v>0</v>
      </c>
      <c r="L17" s="27" t="n">
        <f aca="false">E17*J17/12</f>
        <v>5850</v>
      </c>
      <c r="M17" s="27" t="n">
        <f aca="false">IF(OR(C17="R&amp;D",C17="Founder"),K17*G17,0)</f>
        <v>0</v>
      </c>
      <c r="N17" s="27" t="n">
        <f aca="false">IF(OR(C17="R&amp;D",C17="Founder"),L17*G17,0)</f>
        <v>2340</v>
      </c>
    </row>
    <row r="18" customFormat="false" ht="15" hidden="false" customHeight="false" outlineLevel="0" collapsed="false">
      <c r="A18" s="12" t="s">
        <v>683</v>
      </c>
      <c r="B18" s="10" t="s">
        <v>684</v>
      </c>
      <c r="C18" s="10" t="s">
        <v>680</v>
      </c>
      <c r="D18" s="17" t="n">
        <v>19</v>
      </c>
      <c r="E18" s="17" t="n">
        <v>5400</v>
      </c>
      <c r="F18" s="20" t="n">
        <v>1</v>
      </c>
      <c r="G18" s="19" t="n">
        <v>0</v>
      </c>
      <c r="H18" s="10" t="s">
        <v>671</v>
      </c>
      <c r="I18" s="27" t="n">
        <f aca="false">IF(D18&lt;=12,13-D18,0)*F18</f>
        <v>0</v>
      </c>
      <c r="J18" s="27" t="n">
        <f aca="false">IF(D18&lt;=13,12,MAX(0,25-D18))*F18</f>
        <v>6</v>
      </c>
      <c r="K18" s="27" t="n">
        <f aca="false">E18*I18/12</f>
        <v>0</v>
      </c>
      <c r="L18" s="27" t="n">
        <f aca="false">E18*J18/12</f>
        <v>2700</v>
      </c>
      <c r="M18" s="27" t="n">
        <f aca="false">IF(OR(C18="R&amp;D",C18="Founder"),K18*G18,0)</f>
        <v>0</v>
      </c>
      <c r="N18" s="27" t="n">
        <f aca="false">IF(OR(C18="R&amp;D",C18="Founder"),L18*G18,0)</f>
        <v>0</v>
      </c>
    </row>
    <row r="19" customFormat="false" ht="15" hidden="false" customHeight="false" outlineLevel="0" collapsed="false">
      <c r="B19" s="25" t="s">
        <v>510</v>
      </c>
      <c r="I19" s="28" t="n">
        <f aca="false">SUM(I5:I18)</f>
        <v>84.5</v>
      </c>
      <c r="J19" s="28" t="n">
        <f aca="false">SUM(J5:J18)</f>
        <v>153</v>
      </c>
      <c r="K19" s="28" t="n">
        <f aca="false">SUM(K5:K18)</f>
        <v>55825</v>
      </c>
      <c r="L19" s="28" t="n">
        <f aca="false">SUM(L5:L18)</f>
        <v>97050</v>
      </c>
      <c r="M19" s="28" t="n">
        <f aca="false">SUM(M5:M18)</f>
        <v>27255</v>
      </c>
      <c r="N19" s="28" t="n">
        <f aca="false">SUM(N5:N18)</f>
        <v>39120</v>
      </c>
    </row>
    <row r="20" customFormat="false" ht="15" hidden="false" customHeight="false" outlineLevel="0" collapsed="false">
      <c r="B20" s="10" t="s">
        <v>685</v>
      </c>
      <c r="I20" s="31" t="n">
        <f aca="false">I19/12</f>
        <v>7.04166666666667</v>
      </c>
      <c r="J20" s="31" t="n">
        <f aca="false">J19/12</f>
        <v>12.75</v>
      </c>
    </row>
    <row r="21" customFormat="false" ht="15" hidden="false" customHeight="false" outlineLevel="0" collapsed="false">
      <c r="B21" s="10" t="s">
        <v>686</v>
      </c>
      <c r="K21" s="27" t="n">
        <f aca="false">FM_Base!$C$67-K19</f>
        <v>0</v>
      </c>
      <c r="L21" s="27" t="n">
        <f aca="false">FM_Base!$D$67-L19</f>
        <v>0</v>
      </c>
    </row>
    <row r="23" customFormat="false" ht="25.35" hidden="false" customHeight="false" outlineLevel="0" collapsed="false">
      <c r="A23" s="8"/>
      <c r="B23" s="8" t="s">
        <v>687</v>
      </c>
      <c r="C23" s="8"/>
      <c r="D23" s="8"/>
      <c r="E23" s="8" t="s">
        <v>24</v>
      </c>
      <c r="F23" s="8" t="s">
        <v>25</v>
      </c>
      <c r="G23" s="9" t="s">
        <v>510</v>
      </c>
      <c r="H23" s="8" t="s">
        <v>688</v>
      </c>
      <c r="I23" s="8" t="s">
        <v>689</v>
      </c>
      <c r="J23" s="8" t="s">
        <v>690</v>
      </c>
      <c r="K23" s="8" t="s">
        <v>691</v>
      </c>
      <c r="L23" s="8" t="s">
        <v>692</v>
      </c>
      <c r="M23" s="8"/>
      <c r="N23" s="8"/>
    </row>
    <row r="24" customFormat="false" ht="15" hidden="false" customHeight="false" outlineLevel="0" collapsed="false">
      <c r="A24" s="12" t="s">
        <v>339</v>
      </c>
      <c r="B24" s="12" t="s">
        <v>693</v>
      </c>
      <c r="E24" s="17" t="n">
        <v>4800</v>
      </c>
      <c r="F24" s="17" t="n">
        <v>1600</v>
      </c>
      <c r="G24" s="24" t="n">
        <f aca="false">E24+F24</f>
        <v>6400</v>
      </c>
      <c r="H24" s="19" t="n">
        <v>0.8</v>
      </c>
      <c r="I24" s="19" t="n">
        <v>0.8</v>
      </c>
      <c r="J24" s="24" t="n">
        <f aca="false">E24*H24</f>
        <v>3840</v>
      </c>
      <c r="K24" s="24" t="n">
        <f aca="false">F24*I24</f>
        <v>1280</v>
      </c>
      <c r="L24" s="10" t="s">
        <v>694</v>
      </c>
    </row>
    <row r="25" customFormat="false" ht="15" hidden="false" customHeight="false" outlineLevel="0" collapsed="false">
      <c r="A25" s="12" t="s">
        <v>341</v>
      </c>
      <c r="B25" s="12" t="s">
        <v>695</v>
      </c>
      <c r="E25" s="17" t="n">
        <v>6000</v>
      </c>
      <c r="F25" s="17" t="n">
        <v>4000</v>
      </c>
      <c r="G25" s="24" t="n">
        <f aca="false">E25+F25</f>
        <v>10000</v>
      </c>
      <c r="H25" s="19" t="n">
        <v>0.9</v>
      </c>
      <c r="I25" s="19" t="n">
        <v>0.9</v>
      </c>
      <c r="J25" s="24" t="n">
        <f aca="false">E25*H25</f>
        <v>5400</v>
      </c>
      <c r="K25" s="24" t="n">
        <f aca="false">F25*I25</f>
        <v>3600</v>
      </c>
      <c r="L25" s="10" t="s">
        <v>694</v>
      </c>
    </row>
    <row r="26" customFormat="false" ht="15" hidden="false" customHeight="false" outlineLevel="0" collapsed="false">
      <c r="A26" s="12" t="s">
        <v>343</v>
      </c>
      <c r="B26" s="12" t="s">
        <v>696</v>
      </c>
      <c r="E26" s="17" t="n">
        <v>5000</v>
      </c>
      <c r="F26" s="17" t="n">
        <v>2500</v>
      </c>
      <c r="G26" s="24" t="n">
        <f aca="false">E26+F26</f>
        <v>7500</v>
      </c>
      <c r="H26" s="19" t="n">
        <v>0.8</v>
      </c>
      <c r="I26" s="19" t="n">
        <v>0.8</v>
      </c>
      <c r="J26" s="24" t="n">
        <f aca="false">E26*H26</f>
        <v>4000</v>
      </c>
      <c r="K26" s="24" t="n">
        <f aca="false">F26*I26</f>
        <v>2000</v>
      </c>
      <c r="L26" s="10" t="s">
        <v>694</v>
      </c>
    </row>
    <row r="27" customFormat="false" ht="15" hidden="false" customHeight="false" outlineLevel="0" collapsed="false">
      <c r="A27" s="12" t="s">
        <v>345</v>
      </c>
      <c r="B27" s="12" t="s">
        <v>697</v>
      </c>
      <c r="E27" s="17" t="n">
        <v>2500</v>
      </c>
      <c r="F27" s="17" t="n">
        <v>3000</v>
      </c>
      <c r="G27" s="24" t="n">
        <f aca="false">E27+F27</f>
        <v>5500</v>
      </c>
      <c r="H27" s="19" t="n">
        <v>0.8</v>
      </c>
      <c r="I27" s="19" t="n">
        <v>0.8</v>
      </c>
      <c r="J27" s="24" t="n">
        <f aca="false">E27*H27</f>
        <v>2000</v>
      </c>
      <c r="K27" s="24" t="n">
        <f aca="false">F27*I27</f>
        <v>2400</v>
      </c>
      <c r="L27" s="10" t="s">
        <v>698</v>
      </c>
    </row>
    <row r="28" customFormat="false" ht="15" hidden="false" customHeight="false" outlineLevel="0" collapsed="false">
      <c r="A28" s="12" t="s">
        <v>347</v>
      </c>
      <c r="B28" s="12" t="s">
        <v>699</v>
      </c>
      <c r="E28" s="17" t="n">
        <v>0</v>
      </c>
      <c r="F28" s="17" t="n">
        <v>3500</v>
      </c>
      <c r="G28" s="24" t="n">
        <f aca="false">E28+F28</f>
        <v>3500</v>
      </c>
      <c r="H28" s="19" t="n">
        <v>0</v>
      </c>
      <c r="I28" s="19" t="n">
        <v>0</v>
      </c>
      <c r="J28" s="24" t="n">
        <f aca="false">E28*H28</f>
        <v>0</v>
      </c>
      <c r="K28" s="24" t="n">
        <f aca="false">F28*I28</f>
        <v>0</v>
      </c>
      <c r="L28" s="12" t="s">
        <v>700</v>
      </c>
    </row>
    <row r="29" customFormat="false" ht="15" hidden="false" customHeight="false" outlineLevel="0" collapsed="false">
      <c r="A29" s="12" t="s">
        <v>349</v>
      </c>
      <c r="B29" s="12" t="s">
        <v>701</v>
      </c>
      <c r="E29" s="17" t="n">
        <v>2000</v>
      </c>
      <c r="F29" s="17" t="n">
        <v>4000</v>
      </c>
      <c r="G29" s="24" t="n">
        <f aca="false">E29+F29</f>
        <v>6000</v>
      </c>
      <c r="H29" s="19" t="n">
        <v>0</v>
      </c>
      <c r="I29" s="19" t="n">
        <v>0</v>
      </c>
      <c r="J29" s="24" t="n">
        <f aca="false">E29*H29</f>
        <v>0</v>
      </c>
      <c r="K29" s="24" t="n">
        <f aca="false">F29*I29</f>
        <v>0</v>
      </c>
      <c r="L29" s="12" t="s">
        <v>700</v>
      </c>
    </row>
    <row r="30" customFormat="false" ht="15" hidden="false" customHeight="false" outlineLevel="0" collapsed="false">
      <c r="A30" s="12" t="s">
        <v>351</v>
      </c>
      <c r="B30" s="12" t="s">
        <v>702</v>
      </c>
      <c r="E30" s="17" t="n">
        <v>1500</v>
      </c>
      <c r="F30" s="17" t="n">
        <v>4500</v>
      </c>
      <c r="G30" s="24" t="n">
        <f aca="false">E30+F30</f>
        <v>6000</v>
      </c>
      <c r="H30" s="19" t="n">
        <v>1</v>
      </c>
      <c r="I30" s="19" t="n">
        <v>0.45</v>
      </c>
      <c r="J30" s="24" t="n">
        <f aca="false">E30*H30</f>
        <v>1500</v>
      </c>
      <c r="K30" s="24" t="n">
        <f aca="false">F30*I30</f>
        <v>2025</v>
      </c>
      <c r="L30" s="10" t="s">
        <v>698</v>
      </c>
    </row>
    <row r="31" customFormat="false" ht="15" hidden="false" customHeight="false" outlineLevel="0" collapsed="false">
      <c r="A31" s="12" t="s">
        <v>354</v>
      </c>
      <c r="B31" s="12" t="s">
        <v>703</v>
      </c>
      <c r="E31" s="17" t="n">
        <v>1500</v>
      </c>
      <c r="F31" s="17" t="n">
        <v>3000</v>
      </c>
      <c r="G31" s="24" t="n">
        <f aca="false">E31+F31</f>
        <v>4500</v>
      </c>
      <c r="H31" s="19" t="n">
        <v>0.8</v>
      </c>
      <c r="I31" s="19" t="n">
        <v>0.8</v>
      </c>
      <c r="J31" s="24" t="n">
        <f aca="false">E31*H31</f>
        <v>1200</v>
      </c>
      <c r="K31" s="24" t="n">
        <f aca="false">F31*I31</f>
        <v>2400</v>
      </c>
      <c r="L31" s="10" t="s">
        <v>698</v>
      </c>
    </row>
    <row r="32" customFormat="false" ht="15" hidden="false" customHeight="false" outlineLevel="0" collapsed="false">
      <c r="A32" s="12" t="s">
        <v>356</v>
      </c>
      <c r="B32" s="12" t="s">
        <v>704</v>
      </c>
      <c r="E32" s="17" t="n">
        <v>4800</v>
      </c>
      <c r="F32" s="17" t="n">
        <v>4800</v>
      </c>
      <c r="G32" s="24" t="n">
        <f aca="false">E32+F32</f>
        <v>9600</v>
      </c>
      <c r="H32" s="19" t="n">
        <v>0</v>
      </c>
      <c r="I32" s="19" t="n">
        <v>0</v>
      </c>
      <c r="J32" s="24" t="n">
        <f aca="false">E32*H32</f>
        <v>0</v>
      </c>
      <c r="K32" s="24" t="n">
        <f aca="false">F32*I32</f>
        <v>0</v>
      </c>
      <c r="L32" s="10" t="s">
        <v>705</v>
      </c>
    </row>
    <row r="33" customFormat="false" ht="15" hidden="false" customHeight="false" outlineLevel="0" collapsed="false">
      <c r="A33" s="12" t="s">
        <v>358</v>
      </c>
      <c r="B33" s="12" t="s">
        <v>706</v>
      </c>
      <c r="E33" s="17" t="n">
        <v>4000</v>
      </c>
      <c r="F33" s="17" t="n">
        <v>5000</v>
      </c>
      <c r="G33" s="24" t="n">
        <f aca="false">E33+F33</f>
        <v>9000</v>
      </c>
      <c r="H33" s="19" t="n">
        <v>0</v>
      </c>
      <c r="I33" s="19" t="n">
        <v>0</v>
      </c>
      <c r="J33" s="24" t="n">
        <f aca="false">E33*H33</f>
        <v>0</v>
      </c>
      <c r="K33" s="24" t="n">
        <f aca="false">F33*I33</f>
        <v>0</v>
      </c>
      <c r="L33" s="10" t="s">
        <v>705</v>
      </c>
    </row>
    <row r="34" customFormat="false" ht="15" hidden="false" customHeight="false" outlineLevel="0" collapsed="false">
      <c r="B34" s="25" t="s">
        <v>707</v>
      </c>
      <c r="E34" s="30" t="n">
        <f aca="false">SUM(E24:E33)</f>
        <v>32100</v>
      </c>
      <c r="F34" s="30" t="n">
        <f aca="false">SUM(F24:F33)</f>
        <v>35900</v>
      </c>
      <c r="G34" s="30" t="n">
        <f aca="false">SUM(G24:G33)</f>
        <v>68000</v>
      </c>
      <c r="J34" s="30" t="n">
        <f aca="false">SUM(J24:J33)</f>
        <v>17940</v>
      </c>
      <c r="K34" s="30" t="n">
        <f aca="false">SUM(K24:K33)</f>
        <v>13705</v>
      </c>
    </row>
    <row r="35" customFormat="false" ht="15" hidden="false" customHeight="false" outlineLevel="0" collapsed="false">
      <c r="B35" s="10" t="s">
        <v>708</v>
      </c>
      <c r="E35" s="24" t="n">
        <f aca="false">E34*0.1</f>
        <v>3210</v>
      </c>
      <c r="F35" s="24" t="n">
        <f aca="false">F34*0.1</f>
        <v>3590</v>
      </c>
      <c r="G35" s="24" t="n">
        <f aca="false">E35+F35</f>
        <v>6800</v>
      </c>
    </row>
    <row r="36" customFormat="false" ht="15" hidden="false" customHeight="false" outlineLevel="0" collapsed="false">
      <c r="B36" s="10" t="s">
        <v>709</v>
      </c>
      <c r="E36" s="24" t="n">
        <f aca="false">SUMIF($C$5:$C$18,"R&amp;D",M$5:M$18)*0.05</f>
        <v>1032.75</v>
      </c>
      <c r="F36" s="24" t="n">
        <f aca="false">SUMIF($C$5:$C$18,"R&amp;D",N$5:N$18)*0.05</f>
        <v>1626</v>
      </c>
      <c r="G36" s="24" t="n">
        <f aca="false">E36+F36</f>
        <v>2658.75</v>
      </c>
    </row>
    <row r="37" customFormat="false" ht="15" hidden="false" customHeight="false" outlineLevel="0" collapsed="false">
      <c r="B37" s="10" t="s">
        <v>710</v>
      </c>
      <c r="E37" s="27" t="n">
        <f aca="false">FM_Base!$C$68-(E34+E35+E36)</f>
        <v>0</v>
      </c>
      <c r="F37" s="27" t="n">
        <f aca="false">FM_Base!$D$68-(F34+F35+F36)</f>
        <v>0</v>
      </c>
    </row>
    <row r="39" customFormat="false" ht="15" hidden="false" customHeight="false" outlineLevel="0" collapsed="false">
      <c r="A39" s="8"/>
      <c r="B39" s="8" t="s">
        <v>711</v>
      </c>
      <c r="C39" s="8"/>
      <c r="D39" s="8"/>
      <c r="E39" s="8" t="s">
        <v>712</v>
      </c>
      <c r="F39" s="8" t="s">
        <v>713</v>
      </c>
      <c r="G39" s="9" t="s">
        <v>510</v>
      </c>
      <c r="H39" s="8"/>
      <c r="I39" s="8"/>
      <c r="J39" s="8"/>
      <c r="K39" s="8"/>
      <c r="L39" s="9" t="s">
        <v>714</v>
      </c>
      <c r="M39" s="8"/>
      <c r="N39" s="8"/>
    </row>
    <row r="40" customFormat="false" ht="15" hidden="false" customHeight="false" outlineLevel="0" collapsed="false">
      <c r="B40" s="10" t="s">
        <v>715</v>
      </c>
      <c r="E40" s="24" t="n">
        <f aca="false">SUMIF($C$5:$C$18,"R&amp;D",M$5:M$18)</f>
        <v>20655</v>
      </c>
      <c r="F40" s="24" t="n">
        <f aca="false">SUMIF($C$5:$C$18,"R&amp;D",N$5:N$18)</f>
        <v>32520</v>
      </c>
      <c r="G40" s="24" t="n">
        <f aca="false">E40+F40</f>
        <v>53175</v>
      </c>
      <c r="L40" s="12" t="s">
        <v>716</v>
      </c>
    </row>
    <row r="41" customFormat="false" ht="15" hidden="false" customHeight="false" outlineLevel="0" collapsed="false">
      <c r="B41" s="10" t="s">
        <v>717</v>
      </c>
      <c r="E41" s="24" t="n">
        <f aca="false">SUMIF($C$5:$C$18,"Founder",M$5:M$18)</f>
        <v>6600</v>
      </c>
      <c r="F41" s="24" t="n">
        <f aca="false">SUMIF($C$5:$C$18,"Founder",N$5:N$18)</f>
        <v>6600</v>
      </c>
      <c r="G41" s="24" t="n">
        <f aca="false">E41+F41</f>
        <v>13200</v>
      </c>
      <c r="L41" s="12" t="s">
        <v>718</v>
      </c>
    </row>
    <row r="42" customFormat="false" ht="15" hidden="false" customHeight="false" outlineLevel="0" collapsed="false">
      <c r="B42" s="10" t="s">
        <v>694</v>
      </c>
      <c r="E42" s="24" t="n">
        <f aca="false">SUMIF($L$24:$L$33,"연구재료비",J$24:J$33)</f>
        <v>13240</v>
      </c>
      <c r="F42" s="24" t="n">
        <f aca="false">SUMIF($L$24:$L$33,"연구재료비",K$24:K$33)</f>
        <v>6880</v>
      </c>
      <c r="G42" s="24" t="n">
        <f aca="false">E42+F42</f>
        <v>20120</v>
      </c>
      <c r="L42" s="12" t="s">
        <v>719</v>
      </c>
    </row>
    <row r="43" customFormat="false" ht="15" hidden="false" customHeight="false" outlineLevel="0" collapsed="false">
      <c r="B43" s="10" t="s">
        <v>698</v>
      </c>
      <c r="E43" s="24" t="n">
        <f aca="false">SUMIF($L$24:$L$33,"연구활동비",J$24:J$33)</f>
        <v>4700</v>
      </c>
      <c r="F43" s="24" t="n">
        <f aca="false">SUMIF($L$24:$L$33,"연구활동비",K$24:K$33)</f>
        <v>6825</v>
      </c>
      <c r="G43" s="24" t="n">
        <f aca="false">E43+F43</f>
        <v>11525</v>
      </c>
      <c r="L43" s="12" t="s">
        <v>720</v>
      </c>
    </row>
    <row r="44" customFormat="false" ht="15" hidden="false" customHeight="false" outlineLevel="0" collapsed="false">
      <c r="B44" s="10" t="s">
        <v>721</v>
      </c>
      <c r="E44" s="24" t="n">
        <f aca="false">E36</f>
        <v>1032.75</v>
      </c>
      <c r="F44" s="24" t="n">
        <f aca="false">F36</f>
        <v>1626</v>
      </c>
      <c r="G44" s="24" t="n">
        <f aca="false">E44+F44</f>
        <v>2658.75</v>
      </c>
      <c r="L44" s="10" t="s">
        <v>722</v>
      </c>
    </row>
    <row r="45" customFormat="false" ht="15" hidden="false" customHeight="false" outlineLevel="0" collapsed="false">
      <c r="B45" s="25" t="s">
        <v>723</v>
      </c>
      <c r="E45" s="30" t="n">
        <f aca="false">SUM(E40:E44)</f>
        <v>46227.75</v>
      </c>
      <c r="F45" s="30" t="n">
        <f aca="false">SUM(F40:F44)</f>
        <v>54451</v>
      </c>
      <c r="G45" s="30" t="n">
        <f aca="false">SUM(G40:G44)</f>
        <v>100678.75</v>
      </c>
    </row>
    <row r="46" customFormat="false" ht="15" hidden="false" customHeight="false" outlineLevel="0" collapsed="false">
      <c r="B46" s="10" t="s">
        <v>724</v>
      </c>
      <c r="E46" s="24" t="n">
        <f aca="false">G47*E45/G45-E45</f>
        <v>2749.41747575829</v>
      </c>
      <c r="F46" s="24" t="n">
        <f aca="false">G47*F45/G45-F45</f>
        <v>3238.49919090838</v>
      </c>
      <c r="G46" s="24" t="n">
        <f aca="false">E46+F46</f>
        <v>5987.91666666666</v>
      </c>
    </row>
    <row r="47" customFormat="false" ht="15" hidden="false" customHeight="false" outlineLevel="0" collapsed="false">
      <c r="B47" s="18" t="s">
        <v>725</v>
      </c>
      <c r="E47" s="30" t="n">
        <f aca="false">E45+E46</f>
        <v>48977.1674757583</v>
      </c>
      <c r="F47" s="30" t="n">
        <f aca="false">F45+F46</f>
        <v>57689.4991909084</v>
      </c>
      <c r="G47" s="30" t="n">
        <f aca="false">Inputs!$E$84/Inputs!$E$86</f>
        <v>106666.666666667</v>
      </c>
    </row>
    <row r="48" customFormat="false" ht="15" hidden="false" customHeight="false" outlineLevel="0" collapsed="false">
      <c r="B48" s="10" t="s">
        <v>726</v>
      </c>
      <c r="G48" s="24" t="n">
        <f aca="false">Inputs!$E$84</f>
        <v>80000</v>
      </c>
      <c r="L48" s="12" t="s">
        <v>727</v>
      </c>
    </row>
    <row r="49" customFormat="false" ht="15" hidden="false" customHeight="false" outlineLevel="0" collapsed="false">
      <c r="B49" s="10" t="s">
        <v>728</v>
      </c>
      <c r="G49" s="24" t="n">
        <f aca="false">G47-Inputs!$E$84</f>
        <v>26666.6666666667</v>
      </c>
      <c r="L49" s="12"/>
    </row>
    <row r="50" customFormat="false" ht="15" hidden="false" customHeight="false" outlineLevel="0" collapsed="false">
      <c r="B50" s="10" t="s">
        <v>729</v>
      </c>
      <c r="G50" s="24" t="n">
        <f aca="false">G41</f>
        <v>13200</v>
      </c>
      <c r="L50" s="12"/>
    </row>
    <row r="51" customFormat="false" ht="15" hidden="false" customHeight="false" outlineLevel="0" collapsed="false">
      <c r="B51" s="10" t="s">
        <v>730</v>
      </c>
      <c r="G51" s="24" t="n">
        <f aca="false">G47-Inputs!$E$84-G41</f>
        <v>13466.6666666667</v>
      </c>
      <c r="L51" s="12" t="s">
        <v>731</v>
      </c>
    </row>
    <row r="52" customFormat="false" ht="15" hidden="false" customHeight="false" outlineLevel="0" collapsed="false">
      <c r="B52" s="10" t="s">
        <v>732</v>
      </c>
      <c r="G52" s="24" t="n">
        <f aca="false">IF((G47-Inputs!$E$84-G41)/(G47-Inputs!$E$84)&gt;=Inputs!$E$87-0.0001,1,0)</f>
        <v>1</v>
      </c>
      <c r="L52" s="10" t="s">
        <v>733</v>
      </c>
    </row>
    <row r="53" customFormat="false" ht="15" hidden="false" customHeight="false" outlineLevel="0" collapsed="false">
      <c r="B53" s="10" t="s">
        <v>734</v>
      </c>
      <c r="G53" s="26" t="n">
        <f aca="false">G46/(G45-G41)</f>
        <v>0.0684499568942934</v>
      </c>
      <c r="L53" s="10" t="s">
        <v>735</v>
      </c>
    </row>
    <row r="55" customFormat="false" ht="15" hidden="false" customHeight="false" outlineLevel="0" collapsed="false">
      <c r="A55" s="8"/>
      <c r="B55" s="8" t="s">
        <v>736</v>
      </c>
      <c r="C55" s="8"/>
      <c r="D55" s="8"/>
      <c r="E55" s="8" t="s">
        <v>24</v>
      </c>
      <c r="F55" s="8" t="s">
        <v>25</v>
      </c>
      <c r="G55" s="9" t="s">
        <v>510</v>
      </c>
      <c r="H55" s="8"/>
      <c r="I55" s="8"/>
      <c r="J55" s="8"/>
      <c r="K55" s="8"/>
      <c r="L55" s="9" t="s">
        <v>737</v>
      </c>
      <c r="M55" s="8"/>
      <c r="N55" s="8"/>
    </row>
    <row r="56" customFormat="false" ht="15" hidden="false" customHeight="false" outlineLevel="0" collapsed="false">
      <c r="B56" s="25" t="s">
        <v>738</v>
      </c>
      <c r="E56" s="30" t="n">
        <f aca="false">-FM_Base!$C$71</f>
        <v>92167.75</v>
      </c>
      <c r="F56" s="30" t="n">
        <f aca="false">-FM_Base!$D$71</f>
        <v>141970.8985</v>
      </c>
      <c r="G56" s="30" t="n">
        <f aca="false">E56+F56</f>
        <v>234138.6485</v>
      </c>
    </row>
    <row r="57" customFormat="false" ht="15" hidden="false" customHeight="false" outlineLevel="0" collapsed="false">
      <c r="B57" s="10" t="s">
        <v>739</v>
      </c>
      <c r="E57" s="24" t="n">
        <f aca="false">E56-FM_Base!$C$69</f>
        <v>0</v>
      </c>
      <c r="F57" s="24" t="n">
        <f aca="false">F56-FM_Base!$D$69</f>
        <v>3804.89850000001</v>
      </c>
      <c r="G57" s="24" t="n">
        <f aca="false">E57+F57</f>
        <v>3804.89850000001</v>
      </c>
    </row>
    <row r="58" customFormat="false" ht="15" hidden="false" customHeight="false" outlineLevel="0" collapsed="false">
      <c r="B58" s="12" t="s">
        <v>740</v>
      </c>
      <c r="E58" s="24" t="n">
        <f aca="false">E47*Inputs!$E$86</f>
        <v>36732.8756068187</v>
      </c>
      <c r="F58" s="24" t="n">
        <f aca="false">F47*Inputs!$E$86</f>
        <v>43267.1243931813</v>
      </c>
      <c r="G58" s="24" t="n">
        <f aca="false">E58+F58</f>
        <v>80000</v>
      </c>
    </row>
    <row r="59" customFormat="false" ht="15" hidden="false" customHeight="false" outlineLevel="0" collapsed="false">
      <c r="B59" s="12" t="s">
        <v>741</v>
      </c>
      <c r="G59" s="24" t="n">
        <f aca="false">F56/12*3</f>
        <v>35492.724625</v>
      </c>
    </row>
    <row r="60" customFormat="false" ht="15" hidden="false" customHeight="false" outlineLevel="0" collapsed="false">
      <c r="B60" s="18" t="s">
        <v>742</v>
      </c>
      <c r="G60" s="32" t="n">
        <f aca="false">G56-G58+G59</f>
        <v>189631.373125</v>
      </c>
    </row>
    <row r="61" customFormat="false" ht="15" hidden="false" customHeight="false" outlineLevel="0" collapsed="false">
      <c r="B61" s="12" t="s">
        <v>743</v>
      </c>
      <c r="G61" s="17" t="n">
        <v>137770.1</v>
      </c>
      <c r="L61" s="12" t="s">
        <v>744</v>
      </c>
    </row>
    <row r="62" customFormat="false" ht="15" hidden="false" customHeight="false" outlineLevel="0" collapsed="false">
      <c r="B62" s="12" t="s">
        <v>745</v>
      </c>
      <c r="G62" s="17" t="n">
        <v>215241.1</v>
      </c>
      <c r="L62" s="10" t="s">
        <v>746</v>
      </c>
    </row>
    <row r="63" customFormat="false" ht="15" hidden="false" customHeight="false" outlineLevel="0" collapsed="false">
      <c r="B63" s="12" t="s">
        <v>747</v>
      </c>
      <c r="G63" s="17" t="n">
        <v>20000</v>
      </c>
      <c r="L63" s="12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9.4" hidden="false" customHeight="false" outlineLevel="0" collapsed="false">
      <c r="A1" s="6" t="s">
        <v>749</v>
      </c>
    </row>
    <row r="3" customFormat="false" ht="15" hidden="false" customHeight="false" outlineLevel="0" collapsed="false">
      <c r="A3" s="9" t="s">
        <v>49</v>
      </c>
      <c r="B3" s="9" t="s">
        <v>512</v>
      </c>
      <c r="C3" s="9" t="s">
        <v>750</v>
      </c>
      <c r="D3" s="8" t="s">
        <v>751</v>
      </c>
    </row>
    <row r="4" customFormat="false" ht="38.05" hidden="false" customHeight="false" outlineLevel="0" collapsed="false">
      <c r="A4" s="3" t="s">
        <v>752</v>
      </c>
      <c r="B4" s="2" t="s">
        <v>753</v>
      </c>
      <c r="C4" s="2" t="s">
        <v>754</v>
      </c>
      <c r="D4" s="3" t="s">
        <v>755</v>
      </c>
    </row>
    <row r="5" customFormat="false" ht="25.35" hidden="false" customHeight="false" outlineLevel="0" collapsed="false">
      <c r="A5" s="3" t="s">
        <v>756</v>
      </c>
      <c r="B5" s="2" t="s">
        <v>757</v>
      </c>
      <c r="C5" s="2" t="s">
        <v>758</v>
      </c>
      <c r="D5" s="3" t="s">
        <v>759</v>
      </c>
    </row>
    <row r="6" customFormat="false" ht="64.9" hidden="false" customHeight="false" outlineLevel="0" collapsed="false">
      <c r="A6" s="2" t="s">
        <v>760</v>
      </c>
      <c r="B6" s="2" t="s">
        <v>761</v>
      </c>
      <c r="C6" s="2" t="s">
        <v>762</v>
      </c>
      <c r="D6" s="3" t="s">
        <v>763</v>
      </c>
    </row>
    <row r="7" customFormat="false" ht="26.85" hidden="false" customHeight="false" outlineLevel="0" collapsed="false">
      <c r="A7" s="3" t="s">
        <v>764</v>
      </c>
      <c r="B7" s="2" t="s">
        <v>765</v>
      </c>
      <c r="C7" s="2" t="s">
        <v>762</v>
      </c>
      <c r="D7" s="3" t="s">
        <v>766</v>
      </c>
    </row>
    <row r="8" customFormat="false" ht="39.55" hidden="false" customHeight="false" outlineLevel="0" collapsed="false">
      <c r="A8" s="3" t="s">
        <v>767</v>
      </c>
      <c r="B8" s="2" t="s">
        <v>768</v>
      </c>
      <c r="C8" s="3" t="s">
        <v>77</v>
      </c>
      <c r="D8" s="2" t="s">
        <v>769</v>
      </c>
    </row>
    <row r="9" customFormat="false" ht="39.55" hidden="false" customHeight="false" outlineLevel="0" collapsed="false">
      <c r="A9" s="3" t="s">
        <v>770</v>
      </c>
      <c r="B9" s="2" t="s">
        <v>771</v>
      </c>
      <c r="C9" s="2" t="s">
        <v>772</v>
      </c>
      <c r="D9" s="2" t="s">
        <v>773</v>
      </c>
    </row>
    <row r="10" customFormat="false" ht="63.4" hidden="false" customHeight="false" outlineLevel="0" collapsed="false">
      <c r="A10" s="3" t="s">
        <v>774</v>
      </c>
      <c r="B10" s="2" t="s">
        <v>775</v>
      </c>
      <c r="C10" s="3" t="s">
        <v>776</v>
      </c>
      <c r="D10" s="2" t="s">
        <v>777</v>
      </c>
    </row>
    <row r="11" customFormat="false" ht="39.55" hidden="false" customHeight="false" outlineLevel="0" collapsed="false">
      <c r="A11" s="3" t="s">
        <v>778</v>
      </c>
      <c r="B11" s="2" t="s">
        <v>779</v>
      </c>
      <c r="C11" s="2" t="s">
        <v>780</v>
      </c>
      <c r="D11" s="2" t="s">
        <v>781</v>
      </c>
    </row>
    <row r="12" customFormat="false" ht="90.25" hidden="false" customHeight="false" outlineLevel="0" collapsed="false">
      <c r="A12" s="3" t="s">
        <v>782</v>
      </c>
      <c r="B12" s="3" t="s">
        <v>783</v>
      </c>
      <c r="C12" s="3" t="s">
        <v>784</v>
      </c>
      <c r="D12" s="2" t="s">
        <v>785</v>
      </c>
    </row>
    <row r="13" customFormat="false" ht="25.35" hidden="false" customHeight="false" outlineLevel="0" collapsed="false">
      <c r="A13" s="3" t="s">
        <v>786</v>
      </c>
      <c r="B13" s="2" t="s">
        <v>787</v>
      </c>
      <c r="C13" s="3" t="s">
        <v>788</v>
      </c>
      <c r="D13" s="2" t="s">
        <v>789</v>
      </c>
    </row>
    <row r="14" customFormat="false" ht="38.05" hidden="false" customHeight="false" outlineLevel="0" collapsed="false">
      <c r="A14" s="3" t="s">
        <v>790</v>
      </c>
      <c r="B14" s="3" t="s">
        <v>791</v>
      </c>
      <c r="C14" s="3" t="s">
        <v>792</v>
      </c>
      <c r="D14" s="2" t="s">
        <v>793</v>
      </c>
    </row>
    <row r="15" customFormat="false" ht="90.25" hidden="false" customHeight="false" outlineLevel="0" collapsed="false">
      <c r="A15" s="3" t="s">
        <v>794</v>
      </c>
      <c r="B15" s="2" t="s">
        <v>795</v>
      </c>
      <c r="C15" s="3" t="s">
        <v>796</v>
      </c>
      <c r="D15" s="2" t="s">
        <v>797</v>
      </c>
    </row>
    <row r="16" customFormat="false" ht="64.9" hidden="false" customHeight="false" outlineLevel="0" collapsed="false">
      <c r="A16" s="3" t="s">
        <v>798</v>
      </c>
      <c r="B16" s="3" t="s">
        <v>799</v>
      </c>
      <c r="C16" s="2" t="s">
        <v>800</v>
      </c>
      <c r="D16" s="2" t="s">
        <v>801</v>
      </c>
    </row>
    <row r="17" customFormat="false" ht="52.2" hidden="false" customHeight="false" outlineLevel="0" collapsed="false">
      <c r="A17" s="3" t="s">
        <v>802</v>
      </c>
      <c r="B17" s="3" t="s">
        <v>803</v>
      </c>
      <c r="C17" s="3" t="s">
        <v>804</v>
      </c>
      <c r="D17" s="2" t="s">
        <v>805</v>
      </c>
    </row>
    <row r="18" customFormat="false" ht="108.2" hidden="false" customHeight="false" outlineLevel="0" collapsed="false">
      <c r="A18" s="3" t="s">
        <v>806</v>
      </c>
      <c r="B18" s="2" t="s">
        <v>807</v>
      </c>
      <c r="C18" s="3" t="s">
        <v>808</v>
      </c>
      <c r="D18" s="2" t="s">
        <v>809</v>
      </c>
    </row>
    <row r="19" customFormat="false" ht="141.75" hidden="false" customHeight="false" outlineLevel="0" collapsed="false">
      <c r="A19" s="2" t="s">
        <v>810</v>
      </c>
      <c r="B19" s="2" t="s">
        <v>811</v>
      </c>
      <c r="C19" s="3" t="s">
        <v>812</v>
      </c>
      <c r="D19" s="2" t="s">
        <v>813</v>
      </c>
    </row>
    <row r="20" customFormat="false" ht="57.45" hidden="false" customHeight="false" outlineLevel="0" collapsed="false">
      <c r="A20" s="2" t="s">
        <v>814</v>
      </c>
      <c r="B20" s="2" t="s">
        <v>815</v>
      </c>
      <c r="C20" s="3" t="s">
        <v>812</v>
      </c>
      <c r="D20" s="2" t="s">
        <v>816</v>
      </c>
    </row>
    <row r="21" customFormat="false" ht="50.7" hidden="false" customHeight="false" outlineLevel="0" collapsed="false">
      <c r="A21" s="2" t="s">
        <v>817</v>
      </c>
      <c r="B21" s="2" t="s">
        <v>818</v>
      </c>
      <c r="C21" s="3" t="s">
        <v>819</v>
      </c>
      <c r="D21" s="2" t="s">
        <v>820</v>
      </c>
    </row>
    <row r="22" customFormat="false" ht="64.9" hidden="false" customHeight="false" outlineLevel="0" collapsed="false">
      <c r="A22" s="2" t="s">
        <v>821</v>
      </c>
      <c r="B22" s="2" t="s">
        <v>822</v>
      </c>
      <c r="C22" s="3" t="s">
        <v>784</v>
      </c>
      <c r="D22" s="2" t="s">
        <v>823</v>
      </c>
    </row>
    <row r="23" customFormat="false" ht="90.25" hidden="false" customHeight="false" outlineLevel="0" collapsed="false">
      <c r="A23" s="2" t="s">
        <v>824</v>
      </c>
      <c r="B23" s="3" t="s">
        <v>825</v>
      </c>
      <c r="C23" s="3" t="s">
        <v>826</v>
      </c>
      <c r="D23" s="2" t="s">
        <v>827</v>
      </c>
    </row>
    <row r="24" customFormat="false" ht="102.95" hidden="false" customHeight="false" outlineLevel="0" collapsed="false">
      <c r="A24" s="2" t="s">
        <v>828</v>
      </c>
      <c r="B24" s="2" t="s">
        <v>829</v>
      </c>
      <c r="C24" s="2" t="s">
        <v>830</v>
      </c>
      <c r="D24" s="2" t="s">
        <v>831</v>
      </c>
    </row>
    <row r="25" customFormat="false" ht="101.45" hidden="false" customHeight="false" outlineLevel="0" collapsed="false">
      <c r="A25" s="2" t="s">
        <v>832</v>
      </c>
      <c r="B25" s="2" t="s">
        <v>833</v>
      </c>
      <c r="C25" s="3" t="s">
        <v>826</v>
      </c>
      <c r="D25" s="2" t="s">
        <v>834</v>
      </c>
    </row>
    <row r="26" customFormat="false" ht="50.7" hidden="false" customHeight="false" outlineLevel="0" collapsed="false">
      <c r="A26" s="2" t="s">
        <v>835</v>
      </c>
      <c r="B26" s="2" t="s">
        <v>836</v>
      </c>
      <c r="C26" s="2" t="s">
        <v>837</v>
      </c>
      <c r="D26" s="2" t="s">
        <v>838</v>
      </c>
    </row>
    <row r="27" customFormat="false" ht="26.85" hidden="false" customHeight="false" outlineLevel="0" collapsed="false">
      <c r="A27" s="2" t="s">
        <v>839</v>
      </c>
      <c r="B27" s="2" t="s">
        <v>840</v>
      </c>
      <c r="C27" s="2" t="s">
        <v>841</v>
      </c>
      <c r="D27" s="2" t="s">
        <v>842</v>
      </c>
    </row>
    <row r="28" customFormat="false" ht="64.9" hidden="false" customHeight="false" outlineLevel="0" collapsed="false">
      <c r="A28" s="2" t="s">
        <v>843</v>
      </c>
      <c r="B28" s="2" t="s">
        <v>844</v>
      </c>
      <c r="C28" s="3" t="s">
        <v>826</v>
      </c>
      <c r="D28" s="2" t="s">
        <v>845</v>
      </c>
    </row>
    <row r="29" customFormat="false" ht="76.1" hidden="false" customHeight="false" outlineLevel="0" collapsed="false">
      <c r="A29" s="2" t="s">
        <v>846</v>
      </c>
      <c r="B29" s="3" t="s">
        <v>847</v>
      </c>
      <c r="C29" s="2" t="s">
        <v>848</v>
      </c>
      <c r="D29" s="2" t="s">
        <v>849</v>
      </c>
    </row>
    <row r="30" customFormat="false" ht="39.55" hidden="false" customHeight="false" outlineLevel="0" collapsed="false">
      <c r="A30" s="2" t="s">
        <v>850</v>
      </c>
      <c r="B30" s="3" t="s">
        <v>851</v>
      </c>
      <c r="C30" s="2" t="s">
        <v>852</v>
      </c>
      <c r="D30" s="2" t="s">
        <v>853</v>
      </c>
    </row>
    <row r="31" customFormat="false" ht="63.4" hidden="false" customHeight="false" outlineLevel="0" collapsed="false">
      <c r="A31" s="2" t="s">
        <v>854</v>
      </c>
      <c r="B31" s="2" t="s">
        <v>855</v>
      </c>
      <c r="C31" s="3" t="s">
        <v>856</v>
      </c>
      <c r="D31" s="2" t="s">
        <v>857</v>
      </c>
    </row>
    <row r="32" customFormat="false" ht="52.2" hidden="false" customHeight="false" outlineLevel="0" collapsed="false">
      <c r="A32" s="2" t="s">
        <v>858</v>
      </c>
      <c r="B32" s="3" t="s">
        <v>859</v>
      </c>
      <c r="C32" s="3" t="s">
        <v>860</v>
      </c>
      <c r="D32" s="2" t="s">
        <v>861</v>
      </c>
    </row>
    <row r="33" customFormat="false" ht="63.4" hidden="false" customHeight="false" outlineLevel="0" collapsed="false">
      <c r="A33" s="3" t="s">
        <v>862</v>
      </c>
      <c r="B33" s="2" t="s">
        <v>863</v>
      </c>
      <c r="C33" s="3" t="s">
        <v>864</v>
      </c>
      <c r="D33" s="2" t="s">
        <v>865</v>
      </c>
    </row>
    <row r="34" customFormat="false" ht="39.55" hidden="false" customHeight="false" outlineLevel="0" collapsed="false">
      <c r="A34" s="2" t="s">
        <v>866</v>
      </c>
      <c r="B34" s="3" t="s">
        <v>867</v>
      </c>
      <c r="C34" s="3" t="s">
        <v>868</v>
      </c>
      <c r="D34" s="2" t="s">
        <v>869</v>
      </c>
    </row>
    <row r="35" customFormat="false" ht="26.85" hidden="false" customHeight="false" outlineLevel="0" collapsed="false">
      <c r="A35" s="3" t="s">
        <v>870</v>
      </c>
      <c r="B35" s="3" t="s">
        <v>871</v>
      </c>
      <c r="C35" s="3" t="s">
        <v>826</v>
      </c>
      <c r="D35" s="2" t="s">
        <v>872</v>
      </c>
    </row>
    <row r="36" customFormat="false" ht="191.75" hidden="false" customHeight="false" outlineLevel="0" collapsed="false">
      <c r="A36" s="2" t="s">
        <v>873</v>
      </c>
      <c r="B36" s="3" t="s">
        <v>874</v>
      </c>
      <c r="C36" s="3" t="s">
        <v>875</v>
      </c>
      <c r="D36" s="2" t="s">
        <v>876</v>
      </c>
    </row>
    <row r="37" customFormat="false" ht="64.9" hidden="false" customHeight="false" outlineLevel="0" collapsed="false">
      <c r="A37" s="2" t="s">
        <v>877</v>
      </c>
      <c r="B37" s="3" t="s">
        <v>878</v>
      </c>
      <c r="C37" s="3" t="s">
        <v>879</v>
      </c>
      <c r="D37" s="2" t="s">
        <v>880</v>
      </c>
    </row>
    <row r="38" customFormat="false" ht="77.6" hidden="false" customHeight="false" outlineLevel="0" collapsed="false">
      <c r="A38" s="2" t="s">
        <v>881</v>
      </c>
      <c r="B38" s="3" t="s">
        <v>882</v>
      </c>
      <c r="C38" s="3" t="s">
        <v>883</v>
      </c>
      <c r="D38" s="2" t="s">
        <v>884</v>
      </c>
    </row>
    <row r="39" customFormat="false" ht="71.6" hidden="false" customHeight="false" outlineLevel="0" collapsed="false">
      <c r="A39" s="3" t="s">
        <v>885</v>
      </c>
      <c r="B39" s="3" t="s">
        <v>886</v>
      </c>
      <c r="C39" s="2" t="s">
        <v>887</v>
      </c>
      <c r="D39" s="2" t="s">
        <v>888</v>
      </c>
    </row>
    <row r="40" customFormat="false" ht="52.2" hidden="false" customHeight="false" outlineLevel="0" collapsed="false">
      <c r="A40" s="2" t="s">
        <v>889</v>
      </c>
      <c r="B40" s="3" t="s">
        <v>890</v>
      </c>
      <c r="C40" s="2" t="s">
        <v>891</v>
      </c>
      <c r="D40" s="2" t="s">
        <v>892</v>
      </c>
    </row>
    <row r="41" customFormat="false" ht="77.6" hidden="false" customHeight="false" outlineLevel="0" collapsed="false">
      <c r="A41" s="2" t="s">
        <v>893</v>
      </c>
      <c r="B41" s="2" t="s">
        <v>894</v>
      </c>
      <c r="C41" s="2" t="s">
        <v>895</v>
      </c>
      <c r="D41" s="2" t="s">
        <v>896</v>
      </c>
    </row>
    <row r="42" customFormat="false" ht="88.8" hidden="false" customHeight="false" outlineLevel="0" collapsed="false">
      <c r="A42" s="3" t="s">
        <v>897</v>
      </c>
      <c r="B42" s="2" t="s">
        <v>898</v>
      </c>
      <c r="C42" s="3" t="s">
        <v>899</v>
      </c>
      <c r="D42" s="2" t="s">
        <v>900</v>
      </c>
    </row>
    <row r="43" customFormat="false" ht="77.6" hidden="false" customHeight="false" outlineLevel="0" collapsed="false">
      <c r="A43" s="3" t="s">
        <v>901</v>
      </c>
      <c r="B43" s="2" t="s">
        <v>902</v>
      </c>
      <c r="C43" s="3" t="s">
        <v>903</v>
      </c>
      <c r="D43" s="2" t="s">
        <v>904</v>
      </c>
    </row>
    <row r="44" customFormat="false" ht="128.35" hidden="false" customHeight="false" outlineLevel="0" collapsed="false">
      <c r="A44" s="3" t="s">
        <v>905</v>
      </c>
      <c r="B44" s="2" t="s">
        <v>906</v>
      </c>
      <c r="C44" s="3" t="s">
        <v>907</v>
      </c>
      <c r="D44" s="2" t="s">
        <v>908</v>
      </c>
    </row>
    <row r="45" customFormat="false" ht="87.3" hidden="false" customHeight="false" outlineLevel="0" collapsed="false">
      <c r="A45" s="2" t="s">
        <v>909</v>
      </c>
      <c r="B45" s="2" t="s">
        <v>910</v>
      </c>
      <c r="C45" s="3" t="s">
        <v>911</v>
      </c>
      <c r="D45" s="2" t="s">
        <v>912</v>
      </c>
    </row>
    <row r="46" customFormat="false" ht="50.7" hidden="false" customHeight="false" outlineLevel="0" collapsed="false">
      <c r="A46" s="3" t="s">
        <v>913</v>
      </c>
      <c r="B46" s="2" t="s">
        <v>914</v>
      </c>
      <c r="C46" s="3" t="s">
        <v>915</v>
      </c>
      <c r="D46" s="2" t="s">
        <v>916</v>
      </c>
    </row>
    <row r="47" customFormat="false" ht="77.6" hidden="false" customHeight="false" outlineLevel="0" collapsed="false">
      <c r="A47" s="3" t="s">
        <v>917</v>
      </c>
      <c r="B47" s="2" t="s">
        <v>918</v>
      </c>
      <c r="C47" s="2" t="s">
        <v>919</v>
      </c>
      <c r="D47" s="2" t="s">
        <v>920</v>
      </c>
    </row>
    <row r="48" customFormat="false" ht="77.6" hidden="false" customHeight="false" outlineLevel="0" collapsed="false">
      <c r="A48" s="2" t="s">
        <v>921</v>
      </c>
      <c r="B48" s="2" t="s">
        <v>922</v>
      </c>
      <c r="C48" s="3" t="s">
        <v>826</v>
      </c>
      <c r="D48" s="2" t="s">
        <v>923</v>
      </c>
    </row>
    <row r="49" customFormat="false" ht="63.4" hidden="false" customHeight="false" outlineLevel="0" collapsed="false">
      <c r="A49" s="2" t="s">
        <v>924</v>
      </c>
      <c r="B49" s="2" t="s">
        <v>925</v>
      </c>
      <c r="C49" s="3" t="s">
        <v>926</v>
      </c>
      <c r="D49" s="2" t="s">
        <v>927</v>
      </c>
    </row>
    <row r="50" customFormat="false" ht="108.2" hidden="false" customHeight="false" outlineLevel="0" collapsed="false">
      <c r="A50" s="3" t="s">
        <v>928</v>
      </c>
      <c r="B50" s="2" t="s">
        <v>929</v>
      </c>
      <c r="C50" s="3" t="s">
        <v>930</v>
      </c>
      <c r="D50" s="2" t="s">
        <v>931</v>
      </c>
    </row>
    <row r="51" customFormat="false" ht="90.25" hidden="false" customHeight="false" outlineLevel="0" collapsed="false">
      <c r="A51" s="3" t="s">
        <v>932</v>
      </c>
      <c r="B51" s="3" t="s">
        <v>933</v>
      </c>
      <c r="C51" s="3" t="s">
        <v>934</v>
      </c>
      <c r="D51" s="2" t="s">
        <v>935</v>
      </c>
    </row>
    <row r="52" customFormat="false" ht="170.1" hidden="false" customHeight="false" outlineLevel="0" collapsed="false">
      <c r="A52" s="3" t="s">
        <v>936</v>
      </c>
      <c r="B52" s="2" t="s">
        <v>937</v>
      </c>
      <c r="C52" s="3" t="s">
        <v>938</v>
      </c>
      <c r="D52" s="2" t="s">
        <v>939</v>
      </c>
    </row>
    <row r="53" customFormat="false" ht="170.1" hidden="false" customHeight="false" outlineLevel="0" collapsed="false">
      <c r="A53" s="3" t="s">
        <v>940</v>
      </c>
      <c r="B53" s="2" t="s">
        <v>941</v>
      </c>
      <c r="C53" s="3" t="s">
        <v>938</v>
      </c>
      <c r="D53" s="2" t="s">
        <v>942</v>
      </c>
    </row>
    <row r="54" customFormat="false" ht="102.95" hidden="false" customHeight="false" outlineLevel="0" collapsed="false">
      <c r="A54" s="3" t="s">
        <v>943</v>
      </c>
      <c r="B54" s="3" t="s">
        <v>944</v>
      </c>
      <c r="C54" s="3" t="s">
        <v>945</v>
      </c>
      <c r="D54" s="2" t="s">
        <v>946</v>
      </c>
    </row>
    <row r="55" customFormat="false" ht="76.1" hidden="false" customHeight="false" outlineLevel="0" collapsed="false">
      <c r="A55" s="2" t="s">
        <v>947</v>
      </c>
      <c r="B55" s="3" t="s">
        <v>948</v>
      </c>
      <c r="C55" s="3" t="s">
        <v>949</v>
      </c>
      <c r="D55" s="2" t="s">
        <v>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2026-10-08T14:34:58Z</dcterms:created>
  <dc:creator>openpyxl</dc:creator>
  <dc:description/>
  <dc:language>en-US</dc:language>
  <cp:lastModifiedBy/>
  <dcterms:modified xsi:type="dcterms:W3CDTF">2026-10-08T14:34:58Z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