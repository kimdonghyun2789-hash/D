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enario_Summary" sheetId="2" state="visible" r:id="rId4"/>
    <sheet name="Inputs" sheetId="3" state="visible" r:id="rId5"/>
    <sheet name="Inputs_Yearly" sheetId="4" state="visible" r:id="rId6"/>
    <sheet name="FM_Conservative" sheetId="5" state="visible" r:id="rId7"/>
    <sheet name="FM_Base" sheetId="6" state="visible" r:id="rId8"/>
    <sheet name="FM_Upside" sheetId="7" state="visible" r:id="rId9"/>
    <sheet name="Household" sheetId="8" state="visible" r:id="rId10"/>
    <sheet name="Unit_Economics" sheetId="9" state="visible" r:id="rId11"/>
    <sheet name="Market" sheetId="10" state="visible" r:id="rId12"/>
    <sheet name="Sensitivity" sheetId="11" state="visible" r:id="rId13"/>
    <sheet name="TIPS_Budget" sheetId="12" state="visible" r:id="rId14"/>
    <sheet name="Source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<sst xmlns="http://schemas.openxmlformats.org/spreadsheetml/2006/main" count="1723" uniqueCount="741">
  <si>
    <t xml:space="preserve">ARKI Robotics — TIPS IR Financial Model (Draft v4, 2026-10)</t>
  </si>
  <si>
    <r>
      <rPr>
        <sz val="10"/>
        <color rgb="FF000000"/>
        <rFont val="WenQuanYi Zen Hei"/>
        <family val="2"/>
      </rPr>
      <t xml:space="preserve">목적</t>
    </r>
    <r>
      <rPr>
        <sz val="10"/>
        <color rgb="FF000000"/>
        <rFont val="Arial"/>
        <family val="0"/>
        <charset val="1"/>
      </rPr>
      <t xml:space="preserve">: TIPS IR </t>
    </r>
    <r>
      <rPr>
        <sz val="10"/>
        <color rgb="FF000000"/>
        <rFont val="WenQuanYi Zen Hei"/>
        <family val="2"/>
      </rPr>
      <t xml:space="preserve">덱의 모든 사업 수치를 하나의 수식 모델로 관리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단위는 별도 표기가 없으면 만원 </t>
    </r>
    <r>
      <rPr>
        <sz val="10"/>
        <color rgb="FF000000"/>
        <rFont val="Arial"/>
        <family val="0"/>
        <charset val="1"/>
      </rPr>
      <t xml:space="preserve">(KRW 10,000). </t>
    </r>
    <r>
      <rPr>
        <sz val="10"/>
        <color rgb="FF000000"/>
        <rFont val="WenQuanYi Zen Hei"/>
        <family val="2"/>
      </rPr>
      <t xml:space="preserve">억원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만원 </t>
    </r>
    <r>
      <rPr>
        <sz val="10"/>
        <color rgb="FF000000"/>
        <rFont val="Arial"/>
        <family val="0"/>
        <charset val="1"/>
      </rPr>
      <t xml:space="preserve">/ 10,000.</t>
    </r>
  </si>
  <si>
    <r>
      <rPr>
        <b val="true"/>
        <sz val="10"/>
        <rFont val="WenQuanYi Zen Hei"/>
        <family val="2"/>
      </rPr>
      <t xml:space="preserve">주의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WenQuanYi Zen Hei"/>
        <family val="2"/>
      </rPr>
      <t xml:space="preserve">실적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계약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고객</t>
    </r>
    <r>
      <rPr>
        <b val="true"/>
        <sz val="10"/>
        <rFont val="Arial"/>
        <family val="0"/>
        <charset val="1"/>
      </rPr>
      <t xml:space="preserve">·Partner </t>
    </r>
    <r>
      <rPr>
        <b val="true"/>
        <sz val="10"/>
        <rFont val="WenQuanYi Zen Hei"/>
        <family val="2"/>
      </rPr>
      <t xml:space="preserve">데이터 없음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WenQuanYi Zen Hei"/>
        <family val="2"/>
      </rPr>
      <t xml:space="preserve">모든 수치는 </t>
    </r>
    <r>
      <rPr>
        <b val="true"/>
        <sz val="10"/>
        <rFont val="Arial"/>
        <family val="0"/>
        <charset val="1"/>
      </rPr>
      <t xml:space="preserve">FACT / DERIVED / ASSUMPTION / TARGET Tag</t>
    </r>
    <r>
      <rPr>
        <b val="true"/>
        <sz val="10"/>
        <rFont val="WenQuanYi Zen Hei"/>
        <family val="2"/>
      </rPr>
      <t xml:space="preserve">로 구분</t>
    </r>
    <r>
      <rPr>
        <b val="true"/>
        <sz val="10"/>
        <rFont val="Arial"/>
        <family val="0"/>
        <charset val="1"/>
      </rPr>
      <t xml:space="preserve">.</t>
    </r>
  </si>
  <si>
    <t xml:space="preserve">Color code</t>
  </si>
  <si>
    <r>
      <rPr>
        <sz val="10"/>
        <color rgb="FF000000"/>
        <rFont val="WenQuanYi Zen Hei"/>
        <family val="2"/>
      </rPr>
      <t xml:space="preserve">  파란 글자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입력값 </t>
    </r>
    <r>
      <rPr>
        <sz val="10"/>
        <color rgb="FF000000"/>
        <rFont val="Arial"/>
        <family val="0"/>
        <charset val="1"/>
      </rPr>
      <t xml:space="preserve">(Inputs, Inputs_Yearly</t>
    </r>
    <r>
      <rPr>
        <sz val="10"/>
        <color rgb="FF000000"/>
        <rFont val="WenQuanYi Zen Hei"/>
        <family val="2"/>
      </rPr>
      <t xml:space="preserve">에서만 수정</t>
    </r>
    <r>
      <rPr>
        <sz val="10"/>
        <color rgb="FF000000"/>
        <rFont val="Arial"/>
        <family val="0"/>
        <charset val="1"/>
      </rPr>
      <t xml:space="preserve">) · </t>
    </r>
    <r>
      <rPr>
        <sz val="10"/>
        <color rgb="FF000000"/>
        <rFont val="WenQuanYi Zen Hei"/>
        <family val="2"/>
      </rPr>
      <t xml:space="preserve">검은 글자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수식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녹색 글자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다른 </t>
    </r>
    <r>
      <rPr>
        <sz val="10"/>
        <color rgb="FF000000"/>
        <rFont val="Arial"/>
        <family val="0"/>
        <charset val="1"/>
      </rPr>
      <t xml:space="preserve">Sheet </t>
    </r>
    <r>
      <rPr>
        <sz val="10"/>
        <color rgb="FF000000"/>
        <rFont val="WenQuanYi Zen Hei"/>
        <family val="2"/>
      </rPr>
      <t xml:space="preserve">참조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노란 바탕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핵심 가정 </t>
    </r>
    <r>
      <rPr>
        <sz val="10"/>
        <color rgb="FF000000"/>
        <rFont val="Arial"/>
        <family val="0"/>
        <charset val="1"/>
      </rPr>
      <t xml:space="preserve">(WTP·BOM·Volume)</t>
    </r>
  </si>
  <si>
    <t xml:space="preserve">Tag</t>
  </si>
  <si>
    <r>
      <rPr>
        <sz val="10"/>
        <color rgb="FF000000"/>
        <rFont val="Arial"/>
        <family val="0"/>
        <charset val="1"/>
      </rPr>
      <t xml:space="preserve">  FACT = </t>
    </r>
    <r>
      <rPr>
        <sz val="10"/>
        <color rgb="FF000000"/>
        <rFont val="WenQuanYi Zen Hei"/>
        <family val="2"/>
      </rPr>
      <t xml:space="preserve">공식 통계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공개자료 확인값 </t>
    </r>
    <r>
      <rPr>
        <sz val="10"/>
        <color rgb="FF000000"/>
        <rFont val="Arial"/>
        <family val="0"/>
        <charset val="1"/>
      </rPr>
      <t xml:space="preserve">· DERIVED = FACT </t>
    </r>
    <r>
      <rPr>
        <sz val="10"/>
        <color rgb="FF000000"/>
        <rFont val="WenQuanYi Zen Hei"/>
        <family val="2"/>
      </rPr>
      <t xml:space="preserve">기반 계산값 </t>
    </r>
    <r>
      <rPr>
        <sz val="10"/>
        <color rgb="FF000000"/>
        <rFont val="Arial"/>
        <family val="0"/>
        <charset val="1"/>
      </rPr>
      <t xml:space="preserve">· ASSUMPTION = </t>
    </r>
    <r>
      <rPr>
        <sz val="10"/>
        <color rgb="FF000000"/>
        <rFont val="WenQuanYi Zen Hei"/>
        <family val="2"/>
      </rPr>
      <t xml:space="preserve">현재 사업가설 </t>
    </r>
    <r>
      <rPr>
        <sz val="10"/>
        <color rgb="FF000000"/>
        <rFont val="Arial"/>
        <family val="0"/>
        <charset val="1"/>
      </rPr>
      <t xml:space="preserve">· TARGET = TIPS </t>
    </r>
    <r>
      <rPr>
        <sz val="10"/>
        <color rgb="FF000000"/>
        <rFont val="WenQuanYi Zen Hei"/>
        <family val="2"/>
      </rPr>
      <t xml:space="preserve">과제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이후 목표</t>
    </r>
  </si>
  <si>
    <t xml:space="preserve">Sheets</t>
  </si>
  <si>
    <r>
      <rPr>
        <sz val="10"/>
        <color rgb="FF000000"/>
        <rFont val="Arial"/>
        <family val="0"/>
        <charset val="1"/>
      </rPr>
      <t xml:space="preserve">  Inputs: </t>
    </r>
    <r>
      <rPr>
        <sz val="10"/>
        <color rgb="FF000000"/>
        <rFont val="WenQuanYi Zen Hei"/>
        <family val="2"/>
      </rPr>
      <t xml:space="preserve">단일값 가정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시나리오별 </t>
    </r>
    <r>
      <rPr>
        <sz val="10"/>
        <color rgb="FF000000"/>
        <rFont val="Arial"/>
        <family val="0"/>
        <charset val="1"/>
      </rPr>
      <t xml:space="preserve">Conservative / Base / Upside </t>
    </r>
    <r>
      <rPr>
        <sz val="10"/>
        <color rgb="FF000000"/>
        <rFont val="WenQuanYi Zen Hei"/>
        <family val="2"/>
      </rPr>
      <t xml:space="preserve">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</si>
  <si>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  Inputs_Yearly: </t>
    </r>
    <r>
      <rPr>
        <sz val="10"/>
        <color rgb="FF000000"/>
        <rFont val="WenQuanYi Zen Hei"/>
        <family val="2"/>
      </rPr>
      <t xml:space="preserve">연도별 가정 </t>
    </r>
    <r>
      <rPr>
        <sz val="10"/>
        <color rgb="FF000000"/>
        <rFont val="Arial"/>
        <family val="0"/>
        <charset val="1"/>
      </rPr>
      <t xml:space="preserve">(Volume, BOM, Standard Module </t>
    </r>
    <r>
      <rPr>
        <sz val="10"/>
        <color rgb="FF000000"/>
        <rFont val="WenQuanYi Zen Hei"/>
        <family val="2"/>
      </rPr>
      <t xml:space="preserve">사용률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인원 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</si>
  <si>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  FM_Conservative / FM_Base / FM_Upside: 5</t>
    </r>
    <r>
      <rPr>
        <sz val="10"/>
        <color rgb="FF000000"/>
        <rFont val="WenQuanYi Zen Hei"/>
        <family val="2"/>
      </rPr>
      <t xml:space="preserve">개년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WenQuanYi Zen Hei"/>
        <family val="2"/>
      </rPr>
      <t xml:space="preserve">손익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각 </t>
    </r>
    <r>
      <rPr>
        <sz val="10"/>
        <color rgb="FF000000"/>
        <rFont val="Arial"/>
        <family val="0"/>
        <charset val="1"/>
      </rPr>
      <t xml:space="preserve">Sheet</t>
    </r>
    <r>
      <rPr>
        <sz val="10"/>
        <color rgb="FF000000"/>
        <rFont val="WenQuanYi Zen Hei"/>
        <family val="2"/>
      </rPr>
      <t xml:space="preserve">가 해당 시나리오 열을 참조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</si>
  <si>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  Scenario_Summary: 3</t>
    </r>
    <r>
      <rPr>
        <sz val="10"/>
        <color rgb="FF000000"/>
        <rFont val="WenQuanYi Zen Hei"/>
        <family val="2"/>
      </rPr>
      <t xml:space="preserve">개 시나리오 요약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억원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</si>
  <si>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  Household: </t>
    </r>
    <r>
      <rPr>
        <sz val="10"/>
        <color rgb="FF000000"/>
        <rFont val="WenQuanYi Zen Hei"/>
        <family val="2"/>
      </rPr>
      <t xml:space="preserve">대표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세대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년 경제성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구매</t>
    </r>
    <r>
      <rPr>
        <sz val="10"/>
        <color rgb="FF000000"/>
        <rFont val="Arial"/>
        <family val="0"/>
        <charset val="1"/>
      </rPr>
      <t xml:space="preserve">·Rental, Y3·Y5 </t>
    </r>
    <r>
      <rPr>
        <sz val="10"/>
        <color rgb="FF000000"/>
        <rFont val="WenQuanYi Zen Hei"/>
        <family val="2"/>
      </rPr>
      <t xml:space="preserve">원가 수준</t>
    </r>
    <r>
      <rPr>
        <sz val="10"/>
        <color rgb="FF000000"/>
        <rFont val="Arial"/>
        <family val="0"/>
        <charset val="1"/>
      </rPr>
      <t xml:space="preserve">, Base)</t>
    </r>
  </si>
  <si>
    <r>
      <rPr>
        <sz val="10"/>
        <color rgb="FF000000"/>
        <rFont val="Arial"/>
        <family val="0"/>
        <charset val="1"/>
      </rPr>
      <t xml:space="preserve">  Unit_Economics: Rental </t>
    </r>
    <r>
      <rPr>
        <sz val="10"/>
        <color rgb="FF000000"/>
        <rFont val="WenQuanYi Zen Hei"/>
        <family val="2"/>
      </rPr>
      <t xml:space="preserve">월 원가 </t>
    </r>
    <r>
      <rPr>
        <sz val="10"/>
        <color rgb="FF000000"/>
        <rFont val="Arial"/>
        <family val="0"/>
        <charset val="1"/>
      </rPr>
      <t xml:space="preserve">Build-up·Payback, Care·Consumables </t>
    </r>
    <r>
      <rPr>
        <sz val="10"/>
        <color rgb="FF000000"/>
        <rFont val="WenQuanYi Zen Hei"/>
        <family val="2"/>
      </rPr>
      <t xml:space="preserve">단위 경제성</t>
    </r>
  </si>
  <si>
    <t xml:space="preserve">  Market: Bottom-up TAM / SAM / SOM</t>
  </si>
  <si>
    <r>
      <rPr>
        <sz val="10"/>
        <color rgb="FF000000"/>
        <rFont val="Arial"/>
        <family val="0"/>
        <charset val="1"/>
      </rPr>
      <t xml:space="preserve">  Sensitivity: </t>
    </r>
    <r>
      <rPr>
        <sz val="10"/>
        <color rgb="FF000000"/>
        <rFont val="WenQuanYi Zen Hei"/>
        <family val="2"/>
      </rPr>
      <t xml:space="preserve">세대 </t>
    </r>
    <r>
      <rPr>
        <sz val="10"/>
        <color rgb="FF000000"/>
        <rFont val="Arial"/>
        <family val="0"/>
        <charset val="1"/>
      </rPr>
      <t xml:space="preserve">Contribution </t>
    </r>
    <r>
      <rPr>
        <sz val="10"/>
        <color rgb="FF000000"/>
        <rFont val="WenQuanYi Zen Hei"/>
        <family val="2"/>
      </rPr>
      <t xml:space="preserve">민감도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수식</t>
    </r>
    <r>
      <rPr>
        <sz val="10"/>
        <color rgb="FF000000"/>
        <rFont val="Arial"/>
        <family val="0"/>
        <charset val="1"/>
      </rPr>
      <t xml:space="preserve">) + </t>
    </r>
    <r>
      <rPr>
        <sz val="10"/>
        <color rgb="FF000000"/>
        <rFont val="WenQuanYi Zen Hei"/>
        <family val="2"/>
      </rPr>
      <t xml:space="preserve">회사 </t>
    </r>
    <r>
      <rPr>
        <sz val="10"/>
        <color rgb="FF000000"/>
        <rFont val="Arial"/>
        <family val="0"/>
        <charset val="1"/>
      </rPr>
      <t xml:space="preserve">Y5 Contribution </t>
    </r>
    <r>
      <rPr>
        <sz val="10"/>
        <color rgb="FF000000"/>
        <rFont val="WenQuanYi Zen Hei"/>
        <family val="2"/>
      </rPr>
      <t xml:space="preserve">민감도 </t>
    </r>
    <r>
      <rPr>
        <sz val="10"/>
        <color rgb="FF000000"/>
        <rFont val="Arial"/>
        <family val="0"/>
        <charset val="1"/>
      </rPr>
      <t xml:space="preserve">(model.py </t>
    </r>
    <r>
      <rPr>
        <sz val="10"/>
        <color rgb="FF000000"/>
        <rFont val="WenQuanYi Zen Hei"/>
        <family val="2"/>
      </rPr>
      <t xml:space="preserve">정적 결과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</si>
  <si>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  TIPS_Budget: TIPS </t>
    </r>
    <r>
      <rPr>
        <sz val="10"/>
        <color rgb="FF000000"/>
        <rFont val="WenQuanYi Zen Hei"/>
        <family val="2"/>
      </rPr>
      <t xml:space="preserve">기간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개월 — 회사 전체 지출 </t>
    </r>
    <r>
      <rPr>
        <sz val="10"/>
        <color rgb="FF000000"/>
        <rFont val="Arial"/>
        <family val="0"/>
        <charset val="1"/>
      </rPr>
      <t xml:space="preserve">(FM_Base Y1~Y2 </t>
    </r>
    <r>
      <rPr>
        <sz val="10"/>
        <color rgb="FF000000"/>
        <rFont val="WenQuanYi Zen Hei"/>
        <family val="2"/>
      </rPr>
      <t xml:space="preserve">연동</t>
    </r>
    <r>
      <rPr>
        <sz val="10"/>
        <color rgb="FF000000"/>
        <rFont val="Arial"/>
        <family val="0"/>
        <charset val="1"/>
      </rPr>
      <t xml:space="preserve">) · TIPS </t>
    </r>
    <r>
      <rPr>
        <sz val="10"/>
        <color rgb="FF000000"/>
        <rFont val="WenQuanYi Zen Hei"/>
        <family val="2"/>
      </rPr>
      <t xml:space="preserve">과제 예산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비목</t>
    </r>
    <r>
      <rPr>
        <sz val="10"/>
        <color rgb="FF000000"/>
        <rFont val="Arial"/>
        <family val="0"/>
        <charset val="1"/>
      </rPr>
      <t xml:space="preserve">) · </t>
    </r>
    <r>
      <rPr>
        <sz val="10"/>
        <color rgb="FF000000"/>
        <rFont val="WenQuanYi Zen Hei"/>
        <family val="2"/>
      </rPr>
      <t xml:space="preserve">재원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지출</t>
    </r>
  </si>
  <si>
    <r>
      <rPr>
        <sz val="10"/>
        <color rgb="FF000000"/>
        <rFont val="Arial"/>
        <family val="0"/>
        <charset val="1"/>
      </rPr>
      <t xml:space="preserve">  Sources: FACT </t>
    </r>
    <r>
      <rPr>
        <sz val="10"/>
        <color rgb="FF000000"/>
        <rFont val="WenQuanYi Zen Hei"/>
        <family val="2"/>
      </rPr>
      <t xml:space="preserve">출처</t>
    </r>
  </si>
  <si>
    <r>
      <rPr>
        <sz val="10"/>
        <color rgb="FF000000"/>
        <rFont val="Arial"/>
        <family val="0"/>
        <charset val="1"/>
      </rPr>
      <t xml:space="preserve">Year </t>
    </r>
    <r>
      <rPr>
        <sz val="10"/>
        <color rgb="FF000000"/>
        <rFont val="WenQuanYi Zen Hei"/>
        <family val="2"/>
      </rPr>
      <t xml:space="preserve">정의</t>
    </r>
    <r>
      <rPr>
        <sz val="10"/>
        <color rgb="FF000000"/>
        <rFont val="Arial"/>
        <family val="0"/>
        <charset val="1"/>
      </rPr>
      <t xml:space="preserve">: Y1 = TIPS </t>
    </r>
    <r>
      <rPr>
        <sz val="10"/>
        <color rgb="FF000000"/>
        <rFont val="WenQuanYi Zen Hei"/>
        <family val="2"/>
      </rPr>
      <t xml:space="preserve">과제 </t>
    </r>
    <r>
      <rPr>
        <sz val="10"/>
        <color rgb="FF000000"/>
        <rFont val="Arial"/>
        <family val="0"/>
        <charset val="1"/>
      </rPr>
      <t xml:space="preserve">M1~M12, Y2 = M13~M24, Y3 = </t>
    </r>
    <r>
      <rPr>
        <sz val="10"/>
        <color rgb="FF000000"/>
        <rFont val="WenQuanYi Zen Hei"/>
        <family val="2"/>
      </rPr>
      <t xml:space="preserve">후속 투자 이후 첫 해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신축 </t>
    </r>
    <r>
      <rPr>
        <sz val="10"/>
        <color rgb="FF000000"/>
        <rFont val="Arial"/>
        <family val="0"/>
        <charset val="1"/>
      </rPr>
      <t xml:space="preserve">Option</t>
    </r>
    <r>
      <rPr>
        <sz val="10"/>
        <color rgb="FF000000"/>
        <rFont val="WenQuanYi Zen Hei"/>
        <family val="2"/>
      </rPr>
      <t xml:space="preserve">은 계약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년 후 입주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설치로 인식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</si>
  <si>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재현</t>
    </r>
    <r>
      <rPr>
        <sz val="10"/>
        <color rgb="FF000000"/>
        <rFont val="Arial"/>
        <family val="0"/>
        <charset val="1"/>
      </rPr>
      <t xml:space="preserve">: python3 ARKI/source/model.py → python3 ARKI/source/xlsx_model.py (LibreOffice </t>
    </r>
    <r>
      <rPr>
        <sz val="10"/>
        <color rgb="FF000000"/>
        <rFont val="WenQuanYi Zen Hei"/>
        <family val="2"/>
      </rPr>
      <t xml:space="preserve">재계산 후 </t>
    </r>
    <r>
      <rPr>
        <sz val="10"/>
        <color rgb="FF000000"/>
        <rFont val="Arial"/>
        <family val="0"/>
        <charset val="1"/>
      </rPr>
      <t xml:space="preserve">model.py</t>
    </r>
    <r>
      <rPr>
        <sz val="10"/>
        <color rgb="FF000000"/>
        <rFont val="WenQuanYi Zen Hei"/>
        <family val="2"/>
      </rPr>
      <t xml:space="preserve">와 교차검증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</si>
  <si>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4"/>
        <rFont val="Arial"/>
        <family val="0"/>
        <charset val="1"/>
      </rPr>
      <t xml:space="preserve">Scenario Summary (</t>
    </r>
    <r>
      <rPr>
        <b val="true"/>
        <sz val="14"/>
        <rFont val="WenQuanYi Zen Hei"/>
        <family val="2"/>
      </rPr>
      <t xml:space="preserve">억원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세대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대</t>
    </r>
    <r>
      <rPr>
        <b val="true"/>
        <sz val="14"/>
        <rFont val="Arial"/>
        <family val="0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</si>
  <si>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각 셀은 </t>
    </r>
    <r>
      <rPr>
        <sz val="11"/>
        <color theme="1"/>
        <rFont val="Calibri"/>
        <family val="2"/>
        <charset val="1"/>
      </rPr>
      <t xml:space="preserve">FM Sheet </t>
    </r>
    <r>
      <rPr>
        <sz val="11"/>
        <color theme="1"/>
        <rFont val="WenQuanYi Zen Hei"/>
        <family val="2"/>
      </rPr>
      <t xml:space="preserve">참조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억원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/ 10,000. Upside</t>
    </r>
    <r>
      <rPr>
        <sz val="11"/>
        <color theme="1"/>
        <rFont val="WenQuanYi Zen Hei"/>
        <family val="2"/>
      </rPr>
      <t xml:space="preserve">는 가격 인상 없이 </t>
    </r>
    <r>
      <rPr>
        <sz val="11"/>
        <color theme="1"/>
        <rFont val="Calibri"/>
        <family val="2"/>
        <charset val="1"/>
      </rPr>
      <t xml:space="preserve">Partner·</t>
    </r>
    <r>
      <rPr>
        <sz val="11"/>
        <color theme="1"/>
        <rFont val="WenQuanYi Zen Hei"/>
        <family val="2"/>
      </rPr>
      <t xml:space="preserve">표준화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설치원가</t>
    </r>
    <r>
      <rPr>
        <sz val="11"/>
        <color theme="1"/>
        <rFont val="Calibri"/>
        <family val="2"/>
        <charset val="1"/>
      </rPr>
      <t xml:space="preserve">·Installed Base</t>
    </r>
    <r>
      <rPr>
        <sz val="11"/>
        <color theme="1"/>
        <rFont val="WenQuanYi Zen Hei"/>
        <family val="2"/>
      </rPr>
      <t xml:space="preserve">로 차이</t>
    </r>
    <r>
      <rPr>
        <sz val="11"/>
        <color theme="1"/>
        <rFont val="Calibri"/>
        <family val="2"/>
        <charset val="1"/>
      </rPr>
      <t xml:space="preserve">.</t>
    </r>
  </si>
  <si>
    <t xml:space="preserve">Conservative</t>
  </si>
  <si>
    <t xml:space="preserve">단위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</si>
  <si>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</si>
  <si>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</si>
  <si>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</si>
  <si>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</si>
  <si>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</si>
  <si>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매출</t>
  </si>
  <si>
    <t xml:space="preserve">억원</t>
  </si>
  <si>
    <t xml:space="preserve">매출총이익</t>
  </si>
  <si>
    <t xml:space="preserve">매출총이익률</t>
  </si>
  <si>
    <t xml:space="preserve">%</t>
  </si>
  <si>
    <t xml:space="preserve">Contribution</t>
  </si>
  <si>
    <t xml:space="preserve">Opex</t>
  </si>
  <si>
    <r>
      <rPr>
        <sz val="10"/>
        <color rgb="FF000000"/>
        <rFont val="WenQuanYi Zen Hei"/>
        <family val="2"/>
      </rPr>
      <t xml:space="preserve">영업이익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근사</t>
    </r>
    <r>
      <rPr>
        <sz val="10"/>
        <color rgb="FF000000"/>
        <rFont val="Arial"/>
        <family val="0"/>
        <charset val="1"/>
      </rPr>
      <t xml:space="preserve">)</t>
    </r>
  </si>
  <si>
    <t xml:space="preserve">누적 현금흐름</t>
  </si>
  <si>
    <r>
      <rPr>
        <sz val="10"/>
        <color rgb="FF000000"/>
        <rFont val="Arial"/>
        <family val="0"/>
        <charset val="1"/>
      </rPr>
      <t xml:space="preserve">Kitchen </t>
    </r>
    <r>
      <rPr>
        <sz val="10"/>
        <color rgb="FF000000"/>
        <rFont val="WenQuanYi Zen Hei"/>
        <family val="2"/>
      </rPr>
      <t xml:space="preserve">설치</t>
    </r>
  </si>
  <si>
    <t xml:space="preserve">세대</t>
  </si>
  <si>
    <r>
      <rPr>
        <sz val="10"/>
        <color rgb="FF000000"/>
        <rFont val="Arial"/>
        <family val="0"/>
        <charset val="1"/>
      </rPr>
      <t xml:space="preserve">Robot </t>
    </r>
    <r>
      <rPr>
        <sz val="10"/>
        <color rgb="FF000000"/>
        <rFont val="WenQuanYi Zen Hei"/>
        <family val="2"/>
      </rPr>
      <t xml:space="preserve">설치</t>
    </r>
  </si>
  <si>
    <t xml:space="preserve">대</t>
  </si>
  <si>
    <r>
      <rPr>
        <sz val="10"/>
        <color rgb="FF000000"/>
        <rFont val="Arial"/>
        <family val="0"/>
        <charset val="1"/>
      </rPr>
      <t xml:space="preserve">Installed Robot (</t>
    </r>
    <r>
      <rPr>
        <sz val="10"/>
        <color rgb="FF000000"/>
        <rFont val="WenQuanYi Zen Hei"/>
        <family val="2"/>
      </rPr>
      <t xml:space="preserve">기말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</si>
  <si>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신축 </t>
    </r>
    <r>
      <rPr>
        <sz val="10"/>
        <color rgb="FF000000"/>
        <rFont val="Arial"/>
        <family val="0"/>
        <charset val="1"/>
      </rPr>
      <t xml:space="preserve">Backlog</t>
    </r>
  </si>
  <si>
    <r>
      <rPr>
        <sz val="10"/>
        <color rgb="FF000000"/>
        <rFont val="Arial"/>
        <family val="0"/>
        <charset val="1"/>
      </rPr>
      <t xml:space="preserve">Robot + Recurring + Upgrade </t>
    </r>
    <r>
      <rPr>
        <sz val="10"/>
        <color rgb="FF000000"/>
        <rFont val="WenQuanYi Zen Hei"/>
        <family val="2"/>
      </rPr>
      <t xml:space="preserve">비중</t>
    </r>
  </si>
  <si>
    <t xml:space="preserve">Base</t>
  </si>
  <si>
    <t xml:space="preserve">Upside</t>
  </si>
  <si>
    <r>
      <rPr>
        <b val="true"/>
        <sz val="14"/>
        <rFont val="Arial"/>
        <family val="0"/>
        <charset val="1"/>
      </rPr>
      <t xml:space="preserve">Inputs — </t>
    </r>
    <r>
      <rPr>
        <b val="true"/>
        <sz val="14"/>
        <rFont val="WenQuanYi Zen Hei"/>
        <family val="2"/>
      </rPr>
      <t xml:space="preserve">단일값 가정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만원 기준</t>
    </r>
    <r>
      <rPr>
        <b val="true"/>
        <sz val="14"/>
        <rFont val="Arial"/>
        <family val="0"/>
        <charset val="1"/>
      </rPr>
      <t xml:space="preserve">)</t>
    </r>
  </si>
  <si>
    <t xml:space="preserve">Key</t>
  </si>
  <si>
    <t xml:space="preserve">항목</t>
  </si>
  <si>
    <t xml:space="preserve">Source / Note</t>
  </si>
  <si>
    <t xml:space="preserve">MARKET</t>
  </si>
  <si>
    <t xml:space="preserve">m_housing_total</t>
  </si>
  <si>
    <r>
      <rPr>
        <sz val="10"/>
        <color rgb="FF000000"/>
        <rFont val="WenQuanYi Zen Hei"/>
        <family val="2"/>
      </rPr>
      <t xml:space="preserve">총주택 </t>
    </r>
    <r>
      <rPr>
        <sz val="10"/>
        <color rgb="FF000000"/>
        <rFont val="Arial"/>
        <family val="0"/>
        <charset val="1"/>
      </rPr>
      <t xml:space="preserve">(2025.11.1 </t>
    </r>
    <r>
      <rPr>
        <sz val="10"/>
        <color rgb="FF000000"/>
        <rFont val="WenQuanYi Zen Hei"/>
        <family val="2"/>
      </rPr>
      <t xml:space="preserve">기준</t>
    </r>
    <r>
      <rPr>
        <sz val="10"/>
        <color rgb="FF000000"/>
        <rFont val="Arial"/>
        <family val="0"/>
        <charset val="1"/>
      </rPr>
      <t xml:space="preserve">)</t>
    </r>
  </si>
  <si>
    <t xml:space="preserve">천호</t>
  </si>
  <si>
    <t xml:space="preserve">FACT</t>
  </si>
  <si>
    <r>
      <rPr>
        <sz val="10"/>
        <color rgb="FF000000"/>
        <rFont val="WenQuanYi Zen Hei"/>
        <family val="2"/>
      </rPr>
      <t xml:space="preserve">국가데이터처</t>
    </r>
    <r>
      <rPr>
        <sz val="10"/>
        <color rgb="FF000000"/>
        <rFont val="Arial"/>
        <family val="0"/>
        <charset val="1"/>
      </rPr>
      <t xml:space="preserve">, 2025 </t>
    </r>
    <r>
      <rPr>
        <sz val="10"/>
        <color rgb="FF000000"/>
        <rFont val="WenQuanYi Zen Hei"/>
        <family val="2"/>
      </rPr>
      <t xml:space="preserve">인구주택총조사 등록센서스 결과 </t>
    </r>
    <r>
      <rPr>
        <sz val="10"/>
        <color rgb="FF000000"/>
        <rFont val="Arial"/>
        <family val="0"/>
        <charset val="1"/>
      </rPr>
      <t xml:space="preserve">(2026.7.28 </t>
    </r>
    <r>
      <rPr>
        <sz val="10"/>
        <color rgb="FF000000"/>
        <rFont val="WenQuanYi Zen Hei"/>
        <family val="2"/>
      </rPr>
      <t xml:space="preserve">발표</t>
    </r>
    <r>
      <rPr>
        <sz val="10"/>
        <color rgb="FF000000"/>
        <rFont val="Arial"/>
        <family val="0"/>
        <charset val="1"/>
      </rPr>
      <t xml:space="preserve">)</t>
    </r>
  </si>
  <si>
    <t xml:space="preserve">m_apt_share</t>
  </si>
  <si>
    <r>
      <rPr>
        <sz val="10"/>
        <color rgb="FF000000"/>
        <rFont val="WenQuanYi Zen Hei"/>
        <family val="2"/>
      </rPr>
      <t xml:space="preserve">아파트 비중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총주택 대비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</si>
  <si>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국가데이터처</t>
    </r>
    <r>
      <rPr>
        <sz val="10"/>
        <color rgb="FF000000"/>
        <rFont val="Arial"/>
        <family val="0"/>
        <charset val="1"/>
      </rPr>
      <t xml:space="preserve">, 2025 </t>
    </r>
    <r>
      <rPr>
        <sz val="10"/>
        <color rgb="FF000000"/>
        <rFont val="WenQuanYi Zen Hei"/>
        <family val="2"/>
      </rPr>
      <t xml:space="preserve">인구주택총조사</t>
    </r>
  </si>
  <si>
    <t xml:space="preserve">m_house_20y_share</t>
  </si>
  <si>
    <r>
      <rPr>
        <sz val="10"/>
        <color rgb="FF000000"/>
        <rFont val="WenQuanYi Zen Hei"/>
        <family val="2"/>
      </rPr>
      <t xml:space="preserve">준공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년 이상 주택 비중</t>
    </r>
  </si>
  <si>
    <t xml:space="preserve">m_house_30y_share</t>
  </si>
  <si>
    <r>
      <rPr>
        <sz val="10"/>
        <color rgb="FF000000"/>
        <rFont val="WenQuanYi Zen Hei"/>
        <family val="2"/>
      </rPr>
      <t xml:space="preserve">준공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년 이상 주택 비중</t>
    </r>
  </si>
  <si>
    <t xml:space="preserve">m_apt_2023</t>
  </si>
  <si>
    <r>
      <rPr>
        <sz val="10"/>
        <color rgb="FF000000"/>
        <rFont val="WenQuanYi Zen Hei"/>
        <family val="2"/>
      </rPr>
      <t xml:space="preserve">아파트 수 </t>
    </r>
    <r>
      <rPr>
        <sz val="10"/>
        <color rgb="FF000000"/>
        <rFont val="Arial"/>
        <family val="0"/>
        <charset val="1"/>
      </rPr>
      <t xml:space="preserve">(2023)</t>
    </r>
  </si>
  <si>
    <r>
      <rPr>
        <sz val="10"/>
        <color rgb="FF000000"/>
        <rFont val="WenQuanYi Zen Hei"/>
        <family val="2"/>
      </rPr>
      <t xml:space="preserve">통계청</t>
    </r>
    <r>
      <rPr>
        <sz val="10"/>
        <color rgb="FF000000"/>
        <rFont val="Arial"/>
        <family val="0"/>
        <charset val="1"/>
      </rPr>
      <t xml:space="preserve">, 2023 </t>
    </r>
    <r>
      <rPr>
        <sz val="10"/>
        <color rgb="FF000000"/>
        <rFont val="WenQuanYi Zen Hei"/>
        <family val="2"/>
      </rPr>
      <t xml:space="preserve">주택총조사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보도 인용</t>
    </r>
    <r>
      <rPr>
        <sz val="10"/>
        <color rgb="FF000000"/>
        <rFont val="Arial"/>
        <family val="0"/>
        <charset val="1"/>
      </rPr>
      <t xml:space="preserve">)</t>
    </r>
  </si>
  <si>
    <t xml:space="preserve">m_apt_20y_2023</t>
  </si>
  <si>
    <r>
      <rPr>
        <sz val="10"/>
        <color rgb="FF000000"/>
        <rFont val="WenQuanYi Zen Hei"/>
        <family val="2"/>
      </rPr>
      <t xml:space="preserve">준공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년 이상 아파트 </t>
    </r>
    <r>
      <rPr>
        <sz val="10"/>
        <color rgb="FF000000"/>
        <rFont val="Arial"/>
        <family val="0"/>
        <charset val="1"/>
      </rPr>
      <t xml:space="preserve">(2023)</t>
    </r>
  </si>
  <si>
    <t xml:space="preserve">m_txn_2025</t>
  </si>
  <si>
    <r>
      <rPr>
        <sz val="10"/>
        <color rgb="FF000000"/>
        <rFont val="WenQuanYi Zen Hei"/>
        <family val="2"/>
      </rPr>
      <t xml:space="preserve">주택 매매거래 </t>
    </r>
    <r>
      <rPr>
        <sz val="10"/>
        <color rgb="FF000000"/>
        <rFont val="Arial"/>
        <family val="0"/>
        <charset val="1"/>
      </rPr>
      <t xml:space="preserve">(2025, </t>
    </r>
    <r>
      <rPr>
        <sz val="10"/>
        <color rgb="FF000000"/>
        <rFont val="WenQuanYi Zen Hei"/>
        <family val="2"/>
      </rPr>
      <t xml:space="preserve">전체 주택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</si>
  <si>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KB</t>
    </r>
    <r>
      <rPr>
        <sz val="10"/>
        <color rgb="FF000000"/>
        <rFont val="WenQuanYi Zen Hei"/>
        <family val="2"/>
      </rPr>
      <t xml:space="preserve">주택시장리뷰 </t>
    </r>
    <r>
      <rPr>
        <sz val="10"/>
        <color rgb="FF000000"/>
        <rFont val="Arial"/>
        <family val="0"/>
        <charset val="1"/>
      </rPr>
      <t xml:space="preserve">2026.2 (</t>
    </r>
    <r>
      <rPr>
        <sz val="10"/>
        <color rgb="FF000000"/>
        <rFont val="WenQuanYi Zen Hei"/>
        <family val="2"/>
      </rPr>
      <t xml:space="preserve">한국부동산원 자료</t>
    </r>
    <r>
      <rPr>
        <sz val="10"/>
        <color rgb="FF000000"/>
        <rFont val="Arial"/>
        <family val="0"/>
        <charset val="1"/>
      </rPr>
      <t xml:space="preserve">)</t>
    </r>
  </si>
  <si>
    <t xml:space="preserve">m_completion_2025</t>
  </si>
  <si>
    <r>
      <rPr>
        <sz val="10"/>
        <color rgb="FF000000"/>
        <rFont val="WenQuanYi Zen Hei"/>
        <family val="2"/>
      </rPr>
      <t xml:space="preserve">주택 준공 </t>
    </r>
    <r>
      <rPr>
        <sz val="10"/>
        <color rgb="FF000000"/>
        <rFont val="Arial"/>
        <family val="0"/>
        <charset val="1"/>
      </rPr>
      <t xml:space="preserve">(2025 </t>
    </r>
    <r>
      <rPr>
        <sz val="10"/>
        <color rgb="FF000000"/>
        <rFont val="WenQuanYi Zen Hei"/>
        <family val="2"/>
      </rPr>
      <t xml:space="preserve">연간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전체 주택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</si>
  <si>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국토교통부</t>
    </r>
    <r>
      <rPr>
        <sz val="10"/>
        <color rgb="FF000000"/>
        <rFont val="Arial"/>
        <family val="0"/>
        <charset val="1"/>
      </rPr>
      <t xml:space="preserve">, 2025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월 주택통계</t>
    </r>
  </si>
  <si>
    <t xml:space="preserve">m_movein_2025</t>
  </si>
  <si>
    <r>
      <rPr>
        <sz val="10"/>
        <color rgb="FF000000"/>
        <rFont val="WenQuanYi Zen Hei"/>
        <family val="2"/>
      </rPr>
      <t xml:space="preserve">아파트 입주 </t>
    </r>
    <r>
      <rPr>
        <sz val="10"/>
        <color rgb="FF000000"/>
        <rFont val="Arial"/>
        <family val="0"/>
        <charset val="1"/>
      </rPr>
      <t xml:space="preserve">(2025)</t>
    </r>
  </si>
  <si>
    <r>
      <rPr>
        <sz val="10"/>
        <color rgb="FF000000"/>
        <rFont val="WenQuanYi Zen Hei"/>
        <family val="2"/>
      </rPr>
      <t xml:space="preserve">부동산</t>
    </r>
    <r>
      <rPr>
        <sz val="10"/>
        <color rgb="FF000000"/>
        <rFont val="Arial"/>
        <family val="0"/>
        <charset val="1"/>
      </rPr>
      <t xml:space="preserve">114 REPS</t>
    </r>
  </si>
  <si>
    <t xml:space="preserve">m_movein_2026e</t>
  </si>
  <si>
    <r>
      <rPr>
        <sz val="10"/>
        <color rgb="FF000000"/>
        <rFont val="WenQuanYi Zen Hei"/>
        <family val="2"/>
      </rPr>
      <t xml:space="preserve">아파트 입주 예정 </t>
    </r>
    <r>
      <rPr>
        <sz val="10"/>
        <color rgb="FF000000"/>
        <rFont val="Arial"/>
        <family val="0"/>
        <charset val="1"/>
      </rPr>
      <t xml:space="preserve">(2026)</t>
    </r>
  </si>
  <si>
    <r>
      <rPr>
        <sz val="10"/>
        <color rgb="FF000000"/>
        <rFont val="WenQuanYi Zen Hei"/>
        <family val="2"/>
      </rPr>
      <t xml:space="preserve">부동산</t>
    </r>
    <r>
      <rPr>
        <sz val="10"/>
        <color rgb="FF000000"/>
        <rFont val="Arial"/>
        <family val="0"/>
        <charset val="1"/>
      </rPr>
      <t xml:space="preserve">114 REPS (</t>
    </r>
    <r>
      <rPr>
        <sz val="10"/>
        <color rgb="FF000000"/>
        <rFont val="WenQuanYi Zen Hei"/>
        <family val="2"/>
      </rPr>
      <t xml:space="preserve">예정 물량</t>
    </r>
    <r>
      <rPr>
        <sz val="10"/>
        <color rgb="FF000000"/>
        <rFont val="Arial"/>
        <family val="0"/>
        <charset val="1"/>
      </rPr>
      <t xml:space="preserve">)</t>
    </r>
  </si>
  <si>
    <t xml:space="preserve">a_replace_cycle</t>
  </si>
  <si>
    <r>
      <rPr>
        <sz val="10"/>
        <color rgb="FF000000"/>
        <rFont val="Arial"/>
        <family val="0"/>
        <charset val="1"/>
      </rPr>
      <t xml:space="preserve">Kitchen </t>
    </r>
    <r>
      <rPr>
        <sz val="10"/>
        <color rgb="FF000000"/>
        <rFont val="WenQuanYi Zen Hei"/>
        <family val="2"/>
      </rPr>
      <t xml:space="preserve">교체주기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노후 아파트</t>
    </r>
    <r>
      <rPr>
        <sz val="10"/>
        <color rgb="FF000000"/>
        <rFont val="Arial"/>
        <family val="0"/>
        <charset val="1"/>
      </rPr>
      <t xml:space="preserve">)</t>
    </r>
  </si>
  <si>
    <t xml:space="preserve">년</t>
  </si>
  <si>
    <t xml:space="preserve">ASSUMPTION</t>
  </si>
  <si>
    <r>
      <rPr>
        <sz val="10"/>
        <color rgb="FF000000"/>
        <rFont val="WenQuanYi Zen Hei"/>
        <family val="2"/>
      </rPr>
      <t xml:space="preserve">교차검증용 가정</t>
    </r>
    <r>
      <rPr>
        <sz val="10"/>
        <color rgb="FF000000"/>
        <rFont val="Arial"/>
        <family val="0"/>
        <charset val="1"/>
      </rPr>
      <t xml:space="preserve">. Seed </t>
    </r>
    <r>
      <rPr>
        <sz val="10"/>
        <color rgb="FF000000"/>
        <rFont val="WenQuanYi Zen Hei"/>
        <family val="2"/>
      </rPr>
      <t xml:space="preserve">기간 견적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인터뷰로 검증</t>
    </r>
  </si>
  <si>
    <t xml:space="preserve">a_txn_apt_share</t>
  </si>
  <si>
    <t xml:space="preserve">매매거래 중 아파트 비중</t>
  </si>
  <si>
    <t xml:space="preserve">부동산원 월별 아파트 거래 비중 확인 필요</t>
  </si>
  <si>
    <t xml:space="preserve">a_txn_kitchen_rate</t>
  </si>
  <si>
    <r>
      <rPr>
        <sz val="10"/>
        <color rgb="FF000000"/>
        <rFont val="WenQuanYi Zen Hei"/>
        <family val="2"/>
      </rPr>
      <t xml:space="preserve">매수 후 </t>
    </r>
    <r>
      <rPr>
        <sz val="10"/>
        <color rgb="FF000000"/>
        <rFont val="Arial"/>
        <family val="0"/>
        <charset val="1"/>
      </rPr>
      <t xml:space="preserve">Kitchen </t>
    </r>
    <r>
      <rPr>
        <sz val="10"/>
        <color rgb="FF000000"/>
        <rFont val="WenQuanYi Zen Hei"/>
        <family val="2"/>
      </rPr>
      <t xml:space="preserve">교체율</t>
    </r>
  </si>
  <si>
    <r>
      <rPr>
        <sz val="10"/>
        <color rgb="FF000000"/>
        <rFont val="WenQuanYi Zen Hei"/>
        <family val="2"/>
      </rPr>
      <t xml:space="preserve">인터뷰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인테리어 </t>
    </r>
    <r>
      <rPr>
        <sz val="10"/>
        <color rgb="FF000000"/>
        <rFont val="Arial"/>
        <family val="0"/>
        <charset val="1"/>
      </rPr>
      <t xml:space="preserve">Partner </t>
    </r>
    <r>
      <rPr>
        <sz val="10"/>
        <color rgb="FF000000"/>
        <rFont val="WenQuanYi Zen Hei"/>
        <family val="2"/>
      </rPr>
      <t xml:space="preserve">자료로 검증</t>
    </r>
  </si>
  <si>
    <t xml:space="preserve">a_aging_nontxn</t>
  </si>
  <si>
    <t xml:space="preserve">비거래 노후 교체 세대</t>
  </si>
  <si>
    <r>
      <rPr>
        <sz val="10"/>
        <color rgb="FF000000"/>
        <rFont val="WenQuanYi Zen Hei"/>
        <family val="2"/>
      </rPr>
      <t xml:space="preserve">천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년</t>
    </r>
  </si>
  <si>
    <t xml:space="preserve">교차검증용 가정</t>
  </si>
  <si>
    <t xml:space="preserve">a_kitchen_replace</t>
  </si>
  <si>
    <r>
      <rPr>
        <sz val="10"/>
        <color rgb="FF000000"/>
        <rFont val="WenQuanYi Zen Hei"/>
        <family val="2"/>
      </rPr>
      <t xml:space="preserve">연간 </t>
    </r>
    <r>
      <rPr>
        <sz val="10"/>
        <color rgb="FF000000"/>
        <rFont val="Arial"/>
        <family val="0"/>
        <charset val="1"/>
      </rPr>
      <t xml:space="preserve">Kitchen </t>
    </r>
    <r>
      <rPr>
        <sz val="10"/>
        <color rgb="FF000000"/>
        <rFont val="WenQuanYi Zen Hei"/>
        <family val="2"/>
      </rPr>
      <t xml:space="preserve">교체 세대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아파트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</si>
  <si>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두 방식 교차검증</t>
    </r>
    <r>
      <rPr>
        <sz val="10"/>
        <color rgb="FF000000"/>
        <rFont val="Arial"/>
        <family val="0"/>
        <charset val="1"/>
      </rPr>
      <t xml:space="preserve">(29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·30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후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만으로 설정</t>
    </r>
  </si>
  <si>
    <t xml:space="preserve">a_premium_share</t>
  </si>
  <si>
    <r>
      <rPr>
        <sz val="10"/>
        <color rgb="FF000000"/>
        <rFont val="Arial"/>
        <family val="0"/>
        <charset val="1"/>
      </rPr>
      <t xml:space="preserve">Premium Kitchen </t>
    </r>
    <r>
      <rPr>
        <sz val="10"/>
        <color rgb="FF000000"/>
        <rFont val="WenQuanYi Zen Hei"/>
        <family val="2"/>
      </rPr>
      <t xml:space="preserve">비중</t>
    </r>
  </si>
  <si>
    <r>
      <rPr>
        <sz val="10"/>
        <color rgb="FF000000"/>
        <rFont val="WenQuanYi Zen Hei"/>
        <family val="2"/>
      </rPr>
      <t xml:space="preserve">주방 예산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WenQuanYi Zen Hei"/>
        <family val="2"/>
      </rPr>
      <t xml:space="preserve">만원 이상 가정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견적 수집으로 검증</t>
    </r>
  </si>
  <si>
    <t xml:space="preserve">a_fit_rate</t>
  </si>
  <si>
    <r>
      <rPr>
        <sz val="10"/>
        <color rgb="FF000000"/>
        <rFont val="Arial"/>
        <family val="0"/>
        <charset val="1"/>
      </rPr>
      <t xml:space="preserve">Robot-ready </t>
    </r>
    <r>
      <rPr>
        <sz val="10"/>
        <color rgb="FF000000"/>
        <rFont val="WenQuanYi Zen Hei"/>
        <family val="2"/>
      </rPr>
      <t xml:space="preserve">적용 가능률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구조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전원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평면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</si>
  <si>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평면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개 분석으로 검증</t>
    </r>
  </si>
  <si>
    <t xml:space="preserve">a_new_supply</t>
  </si>
  <si>
    <r>
      <rPr>
        <sz val="10"/>
        <color rgb="FF000000"/>
        <rFont val="WenQuanYi Zen Hei"/>
        <family val="2"/>
      </rPr>
      <t xml:space="preserve">연간 신규 아파트 입주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평균</t>
    </r>
    <r>
      <rPr>
        <sz val="10"/>
        <color rgb="FF000000"/>
        <rFont val="Arial"/>
        <family val="0"/>
        <charset val="1"/>
      </rPr>
      <t xml:space="preserve">)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</si>
  <si>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</si>
  <si>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실적 </t>
    </r>
    <r>
      <rPr>
        <sz val="10"/>
        <color rgb="FF000000"/>
        <rFont val="Arial"/>
        <family val="0"/>
        <charset val="1"/>
      </rPr>
      <t xml:space="preserve">23.6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·2026 </t>
    </r>
    <r>
      <rPr>
        <sz val="10"/>
        <color rgb="FF000000"/>
        <rFont val="WenQuanYi Zen Hei"/>
        <family val="2"/>
      </rPr>
      <t xml:space="preserve">예정 </t>
    </r>
    <r>
      <rPr>
        <sz val="10"/>
        <color rgb="FF000000"/>
        <rFont val="Arial"/>
        <family val="0"/>
        <charset val="1"/>
      </rPr>
      <t xml:space="preserve">18.3</t>
    </r>
    <r>
      <rPr>
        <sz val="10"/>
        <color rgb="FF000000"/>
        <rFont val="WenQuanYi Zen Hei"/>
        <family val="2"/>
      </rPr>
      <t xml:space="preserve">만 →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만</t>
    </r>
  </si>
  <si>
    <t xml:space="preserve">a_premium_project</t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</si>
  <si>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단지 비중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신축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</si>
  <si>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브랜드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분양가 기준 정의 필요</t>
    </r>
  </si>
  <si>
    <t xml:space="preserve">VALUE</t>
  </si>
  <si>
    <t xml:space="preserve">f_helper_rate</t>
  </si>
  <si>
    <r>
      <rPr>
        <sz val="10"/>
        <color rgb="FF000000"/>
        <rFont val="WenQuanYi Zen Hei"/>
        <family val="2"/>
      </rPr>
      <t xml:space="preserve">가사서비스 시간당 요금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플랫폼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시간 </t>
    </r>
    <r>
      <rPr>
        <sz val="10"/>
        <color rgb="FF000000"/>
        <rFont val="Arial"/>
        <family val="0"/>
        <charset val="1"/>
      </rPr>
      <t xml:space="preserve">59,900~64,900</t>
    </r>
    <r>
      <rPr>
        <sz val="10"/>
        <color rgb="FF000000"/>
        <rFont val="WenQuanYi Zen Hei"/>
        <family val="2"/>
      </rPr>
      <t xml:space="preserve">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</si>
  <si>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/h</t>
    </r>
  </si>
  <si>
    <r>
      <rPr>
        <sz val="10"/>
        <color rgb="FF000000"/>
        <rFont val="WenQuanYi Zen Hei"/>
        <family val="2"/>
      </rPr>
      <t xml:space="preserve">가사서비스 플랫폼 공개 요금 </t>
    </r>
    <r>
      <rPr>
        <sz val="10"/>
        <color rgb="FF000000"/>
        <rFont val="Arial"/>
        <family val="0"/>
        <charset val="1"/>
      </rPr>
      <t xml:space="preserve">(2025, </t>
    </r>
    <r>
      <rPr>
        <sz val="10"/>
        <color rgb="FF000000"/>
        <rFont val="WenQuanYi Zen Hei"/>
        <family val="2"/>
      </rPr>
      <t xml:space="preserve">보도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앱 정보</t>
    </r>
    <r>
      <rPr>
        <sz val="10"/>
        <color rgb="FF000000"/>
        <rFont val="Arial"/>
        <family val="0"/>
        <charset val="1"/>
      </rPr>
      <t xml:space="preserve">)</t>
    </r>
  </si>
  <si>
    <t xml:space="preserve">a_cleanup_min</t>
  </si>
  <si>
    <r>
      <rPr>
        <sz val="10"/>
        <color rgb="FF000000"/>
        <rFont val="Arial"/>
        <family val="0"/>
        <charset val="1"/>
      </rPr>
      <t xml:space="preserve">Clean-up </t>
    </r>
    <r>
      <rPr>
        <sz val="10"/>
        <color rgb="FF000000"/>
        <rFont val="WenQuanYi Zen Hei"/>
        <family val="2"/>
      </rPr>
      <t xml:space="preserve">시간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식사 후 정리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일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</si>
  <si>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분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일</t>
    </r>
  </si>
  <si>
    <r>
      <rPr>
        <sz val="10"/>
        <color rgb="FF000000"/>
        <rFont val="Arial"/>
        <family val="0"/>
        <charset val="1"/>
      </rPr>
      <t xml:space="preserve">Time-diary(n=30)</t>
    </r>
    <r>
      <rPr>
        <sz val="10"/>
        <color rgb="FF000000"/>
        <rFont val="WenQuanYi Zen Hei"/>
        <family val="2"/>
      </rPr>
      <t xml:space="preserve">로 검증</t>
    </r>
  </si>
  <si>
    <t xml:space="preserve">a_auto_share</t>
  </si>
  <si>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WenQuanYi Zen Hei"/>
        <family val="2"/>
      </rPr>
      <t xml:space="preserve">자동화 가능 비중</t>
    </r>
  </si>
  <si>
    <r>
      <rPr>
        <sz val="10"/>
        <color rgb="FF000000"/>
        <rFont val="WenQuanYi Zen Hei"/>
        <family val="2"/>
      </rPr>
      <t xml:space="preserve">식기 이동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식세기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수납만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행주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싱크 세척 제외</t>
    </r>
  </si>
  <si>
    <t xml:space="preserve">fx</t>
  </si>
  <si>
    <r>
      <rPr>
        <sz val="10"/>
        <color rgb="FF000000"/>
        <rFont val="WenQuanYi Zen Hei"/>
        <family val="2"/>
      </rPr>
      <t xml:space="preserve">환율 </t>
    </r>
    <r>
      <rPr>
        <sz val="10"/>
        <color rgb="FF000000"/>
        <rFont val="Arial"/>
        <family val="0"/>
        <charset val="1"/>
      </rPr>
      <t xml:space="preserve">(Benchmark </t>
    </r>
    <r>
      <rPr>
        <sz val="10"/>
        <color rgb="FF000000"/>
        <rFont val="WenQuanYi Zen Hei"/>
        <family val="2"/>
      </rPr>
      <t xml:space="preserve">환산용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</si>
  <si>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원</t>
    </r>
    <r>
      <rPr>
        <sz val="10"/>
        <color rgb="FF000000"/>
        <rFont val="Arial"/>
        <family val="0"/>
        <charset val="1"/>
      </rPr>
      <t xml:space="preserve">/USD</t>
    </r>
  </si>
  <si>
    <r>
      <rPr>
        <sz val="10"/>
        <color rgb="FF000000"/>
        <rFont val="WenQuanYi Zen Hei"/>
        <family val="2"/>
      </rPr>
      <t xml:space="preserve">부품 </t>
    </r>
    <r>
      <rPr>
        <sz val="10"/>
        <color rgb="FF000000"/>
        <rFont val="Arial"/>
        <family val="0"/>
        <charset val="1"/>
      </rPr>
      <t xml:space="preserve">Benchmark </t>
    </r>
    <r>
      <rPr>
        <sz val="10"/>
        <color rgb="FF000000"/>
        <rFont val="WenQuanYi Zen Hei"/>
        <family val="2"/>
      </rPr>
      <t xml:space="preserve">환산 전용</t>
    </r>
  </si>
  <si>
    <t xml:space="preserve">PRICE</t>
  </si>
  <si>
    <t xml:space="preserve">p_rr</t>
  </si>
  <si>
    <r>
      <rPr>
        <sz val="10"/>
        <color rgb="FF000000"/>
        <rFont val="Arial"/>
        <family val="0"/>
        <charset val="1"/>
      </rPr>
      <t xml:space="preserve">Robot-ready Kitchen </t>
    </r>
    <r>
      <rPr>
        <sz val="10"/>
        <color rgb="FF000000"/>
        <rFont val="WenQuanYi Zen Hei"/>
        <family val="2"/>
      </rPr>
      <t xml:space="preserve">증분가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구축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</si>
  <si>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세대</t>
    </r>
  </si>
  <si>
    <r>
      <rPr>
        <sz val="10"/>
        <color rgb="FF000000"/>
        <rFont val="WenQuanYi Zen Hei"/>
        <family val="2"/>
      </rPr>
      <t xml:space="preserve">기존 </t>
    </r>
    <r>
      <rPr>
        <sz val="10"/>
        <color rgb="FF000000"/>
        <rFont val="Arial"/>
        <family val="0"/>
        <charset val="1"/>
      </rPr>
      <t xml:space="preserve">Kitchen </t>
    </r>
    <r>
      <rPr>
        <sz val="10"/>
        <color rgb="FF000000"/>
        <rFont val="WenQuanYi Zen Hei"/>
        <family val="2"/>
      </rPr>
      <t xml:space="preserve">공사비 위 증분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시스템에어컨 유상옵션</t>
    </r>
    <r>
      <rPr>
        <sz val="10"/>
        <color rgb="FF000000"/>
        <rFont val="Arial"/>
        <family val="0"/>
        <charset val="1"/>
      </rPr>
      <t xml:space="preserve">(500~1,000</t>
    </r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대비 하단</t>
    </r>
  </si>
  <si>
    <t xml:space="preserve">p_rr_new</t>
  </si>
  <si>
    <r>
      <rPr>
        <sz val="10"/>
        <color rgb="FF000000"/>
        <rFont val="Arial"/>
        <family val="0"/>
        <charset val="1"/>
      </rPr>
      <t xml:space="preserve">Robot-ready Option </t>
    </r>
    <r>
      <rPr>
        <sz val="10"/>
        <color rgb="FF000000"/>
        <rFont val="WenQuanYi Zen Hei"/>
        <family val="2"/>
      </rPr>
      <t xml:space="preserve">공급가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신축</t>
    </r>
    <r>
      <rPr>
        <sz val="10"/>
        <color rgb="FF000000"/>
        <rFont val="Arial"/>
        <family val="0"/>
        <charset val="1"/>
      </rPr>
      <t xml:space="preserve">, ARKI </t>
    </r>
    <r>
      <rPr>
        <sz val="10"/>
        <color rgb="FF000000"/>
        <rFont val="WenQuanYi Zen Hei"/>
        <family val="2"/>
      </rPr>
      <t xml:space="preserve">매출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</si>
  <si>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건설사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가구사 마진 별도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분양 고객가 약 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WenQuanYi Zen Hei"/>
        <family val="2"/>
      </rPr>
      <t xml:space="preserve">만원 가정</t>
    </r>
  </si>
  <si>
    <t xml:space="preserve">p_robot</t>
  </si>
  <si>
    <r>
      <rPr>
        <sz val="10"/>
        <color rgb="FF000000"/>
        <rFont val="Arial"/>
        <family val="0"/>
        <charset val="1"/>
      </rPr>
      <t xml:space="preserve">Robot Module ASP (</t>
    </r>
    <r>
      <rPr>
        <sz val="10"/>
        <color rgb="FF000000"/>
        <rFont val="WenQuanYi Zen Hei"/>
        <family val="2"/>
      </rPr>
      <t xml:space="preserve">구매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</si>
  <si>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대</t>
    </r>
  </si>
  <si>
    <r>
      <rPr>
        <sz val="10"/>
        <color rgb="FF000000"/>
        <rFont val="Arial"/>
        <family val="0"/>
        <charset val="1"/>
      </rPr>
      <t xml:space="preserve">Upside</t>
    </r>
    <r>
      <rPr>
        <sz val="10"/>
        <color rgb="FF000000"/>
        <rFont val="WenQuanYi Zen Hei"/>
        <family val="2"/>
      </rPr>
      <t xml:space="preserve">는 가격 인상 없음</t>
    </r>
    <r>
      <rPr>
        <sz val="10"/>
        <color rgb="FF000000"/>
        <rFont val="Arial"/>
        <family val="0"/>
        <charset val="1"/>
      </rPr>
      <t xml:space="preserve">. WTP </t>
    </r>
    <r>
      <rPr>
        <sz val="10"/>
        <color rgb="FF000000"/>
        <rFont val="WenQuanYi Zen Hei"/>
        <family val="2"/>
      </rPr>
      <t xml:space="preserve">검증 대상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순위</t>
    </r>
  </si>
  <si>
    <t xml:space="preserve">p_comm</t>
  </si>
  <si>
    <r>
      <rPr>
        <sz val="10"/>
        <color rgb="FF000000"/>
        <rFont val="WenQuanYi Zen Hei"/>
        <family val="2"/>
      </rPr>
      <t xml:space="preserve">설치</t>
    </r>
    <r>
      <rPr>
        <sz val="10"/>
        <color rgb="FF000000"/>
        <rFont val="Arial"/>
        <family val="0"/>
        <charset val="1"/>
      </rPr>
      <t xml:space="preserve">·Calibration·Safety Check</t>
    </r>
  </si>
  <si>
    <t xml:space="preserve">p_rent</t>
  </si>
  <si>
    <r>
      <rPr>
        <sz val="10"/>
        <color rgb="FF000000"/>
        <rFont val="Arial"/>
        <family val="0"/>
        <charset val="1"/>
      </rPr>
      <t xml:space="preserve">Robot Rental </t>
    </r>
    <r>
      <rPr>
        <sz val="10"/>
        <color rgb="FF000000"/>
        <rFont val="WenQuanYi Zen Hei"/>
        <family val="2"/>
      </rPr>
      <t xml:space="preserve">월 요금 </t>
    </r>
    <r>
      <rPr>
        <sz val="10"/>
        <color rgb="FF000000"/>
        <rFont val="Arial"/>
        <family val="0"/>
        <charset val="1"/>
      </rPr>
      <t xml:space="preserve">(Care Basic·Grip Kit </t>
    </r>
    <r>
      <rPr>
        <sz val="10"/>
        <color rgb="FF000000"/>
        <rFont val="WenQuanYi Zen Hei"/>
        <family val="2"/>
      </rPr>
      <t xml:space="preserve">포함</t>
    </r>
    <r>
      <rPr>
        <sz val="10"/>
        <color rgb="FF000000"/>
        <rFont val="Arial"/>
        <family val="0"/>
        <charset val="1"/>
      </rPr>
      <t xml:space="preserve">, 60</t>
    </r>
    <r>
      <rPr>
        <sz val="10"/>
        <color rgb="FF000000"/>
        <rFont val="WenQuanYi Zen Hei"/>
        <family val="2"/>
      </rPr>
      <t xml:space="preserve">개월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</si>
  <si>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월</t>
    </r>
  </si>
  <si>
    <r>
      <rPr>
        <sz val="10"/>
        <color rgb="FF000000"/>
        <rFont val="WenQuanYi Zen Hei"/>
        <family val="2"/>
      </rPr>
      <t xml:space="preserve">원가 </t>
    </r>
    <r>
      <rPr>
        <sz val="10"/>
        <color rgb="FF000000"/>
        <rFont val="Arial"/>
        <family val="0"/>
        <charset val="1"/>
      </rPr>
      <t xml:space="preserve">Build-up(</t>
    </r>
    <r>
      <rPr>
        <sz val="10"/>
        <color rgb="FF000000"/>
        <rFont val="WenQuanYi Zen Hei"/>
        <family val="2"/>
      </rPr>
      <t xml:space="preserve">감가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금융</t>
    </r>
    <r>
      <rPr>
        <sz val="10"/>
        <color rgb="FF000000"/>
        <rFont val="Arial"/>
        <family val="0"/>
        <charset val="1"/>
      </rPr>
      <t xml:space="preserve">·Care·Grip·Reserve)+</t>
    </r>
    <r>
      <rPr>
        <sz val="10"/>
        <color rgb="FF000000"/>
        <rFont val="WenQuanYi Zen Hei"/>
        <family val="2"/>
      </rPr>
      <t xml:space="preserve">마진</t>
    </r>
  </si>
  <si>
    <t xml:space="preserve">rent_months</t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</si>
  <si>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계약기간</t>
    </r>
  </si>
  <si>
    <t xml:space="preserve">개월</t>
  </si>
  <si>
    <t xml:space="preserve">p_care</t>
  </si>
  <si>
    <r>
      <rPr>
        <sz val="10"/>
        <color rgb="FF000000"/>
        <rFont val="Arial"/>
        <family val="0"/>
        <charset val="1"/>
      </rPr>
      <t xml:space="preserve">Care Basic </t>
    </r>
    <r>
      <rPr>
        <sz val="10"/>
        <color rgb="FF000000"/>
        <rFont val="WenQuanYi Zen Hei"/>
        <family val="2"/>
      </rPr>
      <t xml:space="preserve">연 요금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구매 고객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</si>
  <si>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년</t>
    </r>
  </si>
  <si>
    <r>
      <rPr>
        <sz val="10"/>
        <color rgb="FF000000"/>
        <rFont val="WenQuanYi Zen Hei"/>
        <family val="2"/>
      </rPr>
      <t xml:space="preserve">정기점검</t>
    </r>
    <r>
      <rPr>
        <sz val="10"/>
        <color rgb="FF000000"/>
        <rFont val="Arial"/>
        <family val="0"/>
        <charset val="1"/>
      </rPr>
      <t xml:space="preserve">·Calibration·</t>
    </r>
    <r>
      <rPr>
        <sz val="10"/>
        <color rgb="FF000000"/>
        <rFont val="WenQuanYi Zen Hei"/>
        <family val="2"/>
      </rPr>
      <t xml:space="preserve">원격진단</t>
    </r>
    <r>
      <rPr>
        <sz val="10"/>
        <color rgb="FF000000"/>
        <rFont val="Arial"/>
        <family val="0"/>
        <charset val="1"/>
      </rPr>
      <t xml:space="preserve">·SW Update·A/S </t>
    </r>
    <r>
      <rPr>
        <sz val="10"/>
        <color rgb="FF000000"/>
        <rFont val="WenQuanYi Zen Hei"/>
        <family val="2"/>
      </rPr>
      <t xml:space="preserve">공임</t>
    </r>
  </si>
  <si>
    <t xml:space="preserve">p_care_plus</t>
  </si>
  <si>
    <r>
      <rPr>
        <sz val="10"/>
        <color rgb="FF000000"/>
        <rFont val="Arial"/>
        <family val="0"/>
        <charset val="1"/>
      </rPr>
      <t xml:space="preserve">Care Plus </t>
    </r>
    <r>
      <rPr>
        <sz val="10"/>
        <color rgb="FF000000"/>
        <rFont val="WenQuanYi Zen Hei"/>
        <family val="2"/>
      </rPr>
      <t xml:space="preserve">연 요금 </t>
    </r>
    <r>
      <rPr>
        <sz val="10"/>
        <color rgb="FF000000"/>
        <rFont val="Arial"/>
        <family val="0"/>
        <charset val="1"/>
      </rPr>
      <t xml:space="preserve">(Kit </t>
    </r>
    <r>
      <rPr>
        <sz val="10"/>
        <color rgb="FF000000"/>
        <rFont val="WenQuanYi Zen Hei"/>
        <family val="2"/>
      </rPr>
      <t xml:space="preserve">정기교체 포함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</si>
  <si>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옵션 상품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재무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WenQuanYi Zen Hei"/>
        <family val="2"/>
      </rPr>
      <t xml:space="preserve">에는 미반영</t>
    </r>
  </si>
  <si>
    <t xml:space="preserve">p_grip</t>
  </si>
  <si>
    <t xml:space="preserve">Grip Kit (Finger Pad·Food-contact Tip·Suction Cup)</t>
  </si>
  <si>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/Kit</t>
    </r>
  </si>
  <si>
    <t xml:space="preserve">분기 교체 가정</t>
  </si>
  <si>
    <t xml:space="preserve">n_grip</t>
  </si>
  <si>
    <r>
      <rPr>
        <sz val="10"/>
        <color rgb="FF000000"/>
        <rFont val="Arial"/>
        <family val="0"/>
        <charset val="1"/>
      </rPr>
      <t xml:space="preserve">Grip Kit </t>
    </r>
    <r>
      <rPr>
        <sz val="10"/>
        <color rgb="FF000000"/>
        <rFont val="WenQuanYi Zen Hei"/>
        <family val="2"/>
      </rPr>
      <t xml:space="preserve">교체 횟수</t>
    </r>
  </si>
  <si>
    <r>
      <rPr>
        <sz val="10"/>
        <color rgb="FF000000"/>
        <rFont val="WenQuanYi Zen Hei"/>
        <family val="2"/>
      </rPr>
      <t xml:space="preserve">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년</t>
    </r>
  </si>
  <si>
    <r>
      <rPr>
        <sz val="10"/>
        <color rgb="FF000000"/>
        <rFont val="Arial"/>
        <family val="0"/>
        <charset val="1"/>
      </rPr>
      <t xml:space="preserve">Replacement Cycle </t>
    </r>
    <r>
      <rPr>
        <sz val="10"/>
        <color rgb="FF000000"/>
        <rFont val="WenQuanYi Zen Hei"/>
        <family val="2"/>
      </rPr>
      <t xml:space="preserve">검증 대상</t>
    </r>
  </si>
  <si>
    <t xml:space="preserve">p_clean</t>
  </si>
  <si>
    <t xml:space="preserve">Cleaning Kit (Brush·Wiper·Cleaning Pad)</t>
  </si>
  <si>
    <t xml:space="preserve">n_clean</t>
  </si>
  <si>
    <r>
      <rPr>
        <sz val="10"/>
        <color rgb="FF000000"/>
        <rFont val="Arial"/>
        <family val="0"/>
        <charset val="1"/>
      </rPr>
      <t xml:space="preserve">Cleaning Kit </t>
    </r>
    <r>
      <rPr>
        <sz val="10"/>
        <color rgb="FF000000"/>
        <rFont val="WenQuanYi Zen Hei"/>
        <family val="2"/>
      </rPr>
      <t xml:space="preserve">교체 횟수</t>
    </r>
  </si>
  <si>
    <t xml:space="preserve">p_protect</t>
  </si>
  <si>
    <t xml:space="preserve">Protection Kit (Sensor Cover·Sleeve·Seal)</t>
  </si>
  <si>
    <t xml:space="preserve">n_protect</t>
  </si>
  <si>
    <r>
      <rPr>
        <sz val="10"/>
        <color rgb="FF000000"/>
        <rFont val="Arial"/>
        <family val="0"/>
        <charset val="1"/>
      </rPr>
      <t xml:space="preserve">Protection Kit </t>
    </r>
    <r>
      <rPr>
        <sz val="10"/>
        <color rgb="FF000000"/>
        <rFont val="WenQuanYi Zen Hei"/>
        <family val="2"/>
      </rPr>
      <t xml:space="preserve">교체 횟수</t>
    </r>
  </si>
  <si>
    <t xml:space="preserve">cons_attach</t>
  </si>
  <si>
    <r>
      <rPr>
        <sz val="10"/>
        <color rgb="FF000000"/>
        <rFont val="Arial"/>
        <family val="0"/>
        <charset val="1"/>
      </rPr>
      <t xml:space="preserve">Consumables </t>
    </r>
    <r>
      <rPr>
        <sz val="10"/>
        <color rgb="FF000000"/>
        <rFont val="WenQuanYi Zen Hei"/>
        <family val="2"/>
      </rPr>
      <t xml:space="preserve">구매율</t>
    </r>
  </si>
  <si>
    <t xml:space="preserve">care_attach</t>
  </si>
  <si>
    <r>
      <rPr>
        <sz val="10"/>
        <color rgb="FF000000"/>
        <rFont val="Arial"/>
        <family val="0"/>
        <charset val="1"/>
      </rPr>
      <t xml:space="preserve">Care </t>
    </r>
    <r>
      <rPr>
        <sz val="10"/>
        <color rgb="FF000000"/>
        <rFont val="WenQuanYi Zen Hei"/>
        <family val="2"/>
      </rPr>
      <t xml:space="preserve">가입률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구매 고객</t>
    </r>
    <r>
      <rPr>
        <sz val="10"/>
        <color rgb="FF000000"/>
        <rFont val="Arial"/>
        <family val="0"/>
        <charset val="1"/>
      </rPr>
      <t xml:space="preserve">)</t>
    </r>
  </si>
  <si>
    <t xml:space="preserve">p_sw</t>
  </si>
  <si>
    <r>
      <rPr>
        <sz val="10"/>
        <color rgb="FF000000"/>
        <rFont val="Arial"/>
        <family val="0"/>
        <charset val="1"/>
      </rPr>
      <t xml:space="preserve">Software Skill Pack (</t>
    </r>
    <r>
      <rPr>
        <sz val="10"/>
        <color rgb="FF000000"/>
        <rFont val="WenQuanYi Zen Hei"/>
        <family val="2"/>
      </rPr>
      <t xml:space="preserve">설치 다음 해</t>
    </r>
    <r>
      <rPr>
        <sz val="10"/>
        <color rgb="FF000000"/>
        <rFont val="Arial"/>
        <family val="0"/>
        <charset val="1"/>
      </rPr>
      <t xml:space="preserve">)</t>
    </r>
  </si>
  <si>
    <t xml:space="preserve">만원</t>
  </si>
  <si>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WenQuanYi Zen Hei"/>
        <family val="2"/>
      </rPr>
      <t xml:space="preserve">기능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재료 투입 보조 등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출시 전제</t>
    </r>
  </si>
  <si>
    <t xml:space="preserve">sw_attach</t>
  </si>
  <si>
    <r>
      <rPr>
        <sz val="10"/>
        <color rgb="FF000000"/>
        <rFont val="Arial"/>
        <family val="0"/>
        <charset val="1"/>
      </rPr>
      <t xml:space="preserve">Software Skill </t>
    </r>
    <r>
      <rPr>
        <sz val="10"/>
        <color rgb="FF000000"/>
        <rFont val="WenQuanYi Zen Hei"/>
        <family val="2"/>
      </rPr>
      <t xml:space="preserve">구매율</t>
    </r>
  </si>
  <si>
    <t xml:space="preserve">p_tool</t>
  </si>
  <si>
    <r>
      <rPr>
        <sz val="10"/>
        <color rgb="FF000000"/>
        <rFont val="Arial"/>
        <family val="0"/>
        <charset val="1"/>
      </rPr>
      <t xml:space="preserve">End-effector / Tool </t>
    </r>
    <r>
      <rPr>
        <sz val="10"/>
        <color rgb="FF000000"/>
        <rFont val="WenQuanYi Zen Hei"/>
        <family val="2"/>
      </rPr>
      <t xml:space="preserve">추가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설치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년 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</si>
  <si>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FUTURE CONCEPT </t>
    </r>
    <r>
      <rPr>
        <sz val="10"/>
        <color rgb="FF000000"/>
        <rFont val="WenQuanYi Zen Hei"/>
        <family val="2"/>
      </rPr>
      <t xml:space="preserve">제품</t>
    </r>
  </si>
  <si>
    <t xml:space="preserve">tool_attach</t>
  </si>
  <si>
    <r>
      <rPr>
        <sz val="10"/>
        <color rgb="FF000000"/>
        <rFont val="Arial"/>
        <family val="0"/>
        <charset val="1"/>
      </rPr>
      <t xml:space="preserve">Tool </t>
    </r>
    <r>
      <rPr>
        <sz val="10"/>
        <color rgb="FF000000"/>
        <rFont val="WenQuanYi Zen Hei"/>
        <family val="2"/>
      </rPr>
      <t xml:space="preserve">구매율</t>
    </r>
  </si>
  <si>
    <t xml:space="preserve">wholesale</t>
  </si>
  <si>
    <r>
      <rPr>
        <sz val="10"/>
        <color rgb="FF000000"/>
        <rFont val="Arial"/>
        <family val="0"/>
        <charset val="1"/>
      </rPr>
      <t xml:space="preserve">Rental Partner </t>
    </r>
    <r>
      <rPr>
        <sz val="10"/>
        <color rgb="FF000000"/>
        <rFont val="WenQuanYi Zen Hei"/>
        <family val="2"/>
      </rPr>
      <t xml:space="preserve">공급가율 </t>
    </r>
    <r>
      <rPr>
        <sz val="10"/>
        <color rgb="FF000000"/>
        <rFont val="Arial"/>
        <family val="0"/>
        <charset val="1"/>
      </rPr>
      <t xml:space="preserve">(Robot ASP </t>
    </r>
    <r>
      <rPr>
        <sz val="10"/>
        <color rgb="FF000000"/>
        <rFont val="WenQuanYi Zen Hei"/>
        <family val="2"/>
      </rPr>
      <t xml:space="preserve">대비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</si>
  <si>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WenQuanYi Zen Hei"/>
        <family val="2"/>
      </rPr>
      <t xml:space="preserve">부터 </t>
    </r>
    <r>
      <rPr>
        <sz val="10"/>
        <color rgb="FF000000"/>
        <rFont val="Arial"/>
        <family val="0"/>
        <charset val="1"/>
      </rPr>
      <t xml:space="preserve">Rental Partner</t>
    </r>
    <r>
      <rPr>
        <sz val="10"/>
        <color rgb="FF000000"/>
        <rFont val="WenQuanYi Zen Hei"/>
        <family val="2"/>
      </rPr>
      <t xml:space="preserve">가 자산 보유</t>
    </r>
  </si>
  <si>
    <t xml:space="preserve">partner_fee</t>
  </si>
  <si>
    <r>
      <rPr>
        <sz val="10"/>
        <color rgb="FF000000"/>
        <rFont val="Arial"/>
        <family val="0"/>
        <charset val="1"/>
      </rPr>
      <t xml:space="preserve">Rental Partner → ARKI Care·Grip </t>
    </r>
    <r>
      <rPr>
        <sz val="10"/>
        <color rgb="FF000000"/>
        <rFont val="WenQuanYi Zen Hei"/>
        <family val="2"/>
      </rPr>
      <t xml:space="preserve">서비스료</t>
    </r>
  </si>
  <si>
    <t xml:space="preserve">COST</t>
  </si>
  <si>
    <t xml:space="preserve">kit_std_cost</t>
  </si>
  <si>
    <r>
      <rPr>
        <sz val="10"/>
        <color rgb="FF000000"/>
        <rFont val="Arial"/>
        <family val="0"/>
        <charset val="1"/>
      </rPr>
      <t xml:space="preserve">Kitchen Module </t>
    </r>
    <r>
      <rPr>
        <sz val="10"/>
        <color rgb="FF000000"/>
        <rFont val="WenQuanYi Zen Hei"/>
        <family val="2"/>
      </rPr>
      <t xml:space="preserve">원가 </t>
    </r>
    <r>
      <rPr>
        <sz val="10"/>
        <color rgb="FF000000"/>
        <rFont val="Arial"/>
        <family val="0"/>
        <charset val="1"/>
      </rPr>
      <t xml:space="preserve">(100% </t>
    </r>
    <r>
      <rPr>
        <sz val="10"/>
        <color rgb="FF000000"/>
        <rFont val="WenQuanYi Zen Hei"/>
        <family val="2"/>
      </rPr>
      <t xml:space="preserve">표준부품 기준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</si>
  <si>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하부 보강 프레임</t>
    </r>
    <r>
      <rPr>
        <sz val="10"/>
        <color rgb="FF000000"/>
        <rFont val="Arial"/>
        <family val="0"/>
        <charset val="1"/>
      </rPr>
      <t xml:space="preserve">·Rail Interface·</t>
    </r>
    <r>
      <rPr>
        <sz val="10"/>
        <color rgb="FF000000"/>
        <rFont val="WenQuanYi Zen Hei"/>
        <family val="2"/>
      </rPr>
      <t xml:space="preserve">식세기 상향 하우징</t>
    </r>
    <r>
      <rPr>
        <sz val="10"/>
        <color rgb="FF000000"/>
        <rFont val="Arial"/>
        <family val="0"/>
        <charset val="1"/>
      </rPr>
      <t xml:space="preserve">·Robot Garage·</t>
    </r>
    <r>
      <rPr>
        <sz val="10"/>
        <color rgb="FF000000"/>
        <rFont val="WenQuanYi Zen Hei"/>
        <family val="2"/>
      </rPr>
      <t xml:space="preserve">전원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통신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수납 </t>
    </r>
    <r>
      <rPr>
        <sz val="10"/>
        <color rgb="FF000000"/>
        <rFont val="Arial"/>
        <family val="0"/>
        <charset val="1"/>
      </rPr>
      <t xml:space="preserve">Rack</t>
    </r>
  </si>
  <si>
    <t xml:space="preserve">custom_factor</t>
  </si>
  <si>
    <r>
      <rPr>
        <sz val="10"/>
        <color rgb="FF000000"/>
        <rFont val="Arial"/>
        <family val="0"/>
        <charset val="1"/>
      </rPr>
      <t xml:space="preserve">Custom </t>
    </r>
    <r>
      <rPr>
        <sz val="10"/>
        <color rgb="FF000000"/>
        <rFont val="WenQuanYi Zen Hei"/>
        <family val="2"/>
      </rPr>
      <t xml:space="preserve">부품 원가 배수</t>
    </r>
  </si>
  <si>
    <t xml:space="preserve">x</t>
  </si>
  <si>
    <t xml:space="preserve">design_cost</t>
  </si>
  <si>
    <r>
      <rPr>
        <sz val="10"/>
        <color rgb="FF000000"/>
        <rFont val="Arial"/>
        <family val="0"/>
        <charset val="1"/>
      </rPr>
      <t xml:space="preserve">Design·Site Adjustment </t>
    </r>
    <r>
      <rPr>
        <sz val="10"/>
        <color rgb="FF000000"/>
        <rFont val="WenQuanYi Zen Hei"/>
        <family val="2"/>
      </rPr>
      <t xml:space="preserve">원가 </t>
    </r>
    <r>
      <rPr>
        <sz val="10"/>
        <color rgb="FF000000"/>
        <rFont val="Arial"/>
        <family val="0"/>
        <charset val="1"/>
      </rPr>
      <t xml:space="preserve">(100% Custom </t>
    </r>
    <r>
      <rPr>
        <sz val="10"/>
        <color rgb="FF000000"/>
        <rFont val="WenQuanYi Zen Hei"/>
        <family val="2"/>
      </rPr>
      <t xml:space="preserve">시</t>
    </r>
    <r>
      <rPr>
        <sz val="10"/>
        <color rgb="FF000000"/>
        <rFont val="Arial"/>
        <family val="0"/>
        <charset val="1"/>
      </rPr>
      <t xml:space="preserve">)</t>
    </r>
  </si>
  <si>
    <t xml:space="preserve">kit_new_cost</t>
  </si>
  <si>
    <r>
      <rPr>
        <sz val="10"/>
        <color rgb="FF000000"/>
        <rFont val="Arial"/>
        <family val="0"/>
        <charset val="1"/>
      </rPr>
      <t xml:space="preserve">Robot-ready Option </t>
    </r>
    <r>
      <rPr>
        <sz val="10"/>
        <color rgb="FF000000"/>
        <rFont val="WenQuanYi Zen Hei"/>
        <family val="2"/>
      </rPr>
      <t xml:space="preserve">원가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공장 생산</t>
    </r>
    <r>
      <rPr>
        <sz val="10"/>
        <color rgb="FF000000"/>
        <rFont val="Arial"/>
        <family val="0"/>
        <charset val="1"/>
      </rPr>
      <t xml:space="preserve">)</t>
    </r>
  </si>
  <si>
    <t xml:space="preserve">logistics</t>
  </si>
  <si>
    <r>
      <rPr>
        <sz val="10"/>
        <color rgb="FF000000"/>
        <rFont val="WenQuanYi Zen Hei"/>
        <family val="2"/>
      </rPr>
      <t xml:space="preserve">물류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프로젝트당</t>
    </r>
    <r>
      <rPr>
        <sz val="10"/>
        <color rgb="FF000000"/>
        <rFont val="Arial"/>
        <family val="0"/>
        <charset val="1"/>
      </rPr>
      <t xml:space="preserve">)</t>
    </r>
  </si>
  <si>
    <t xml:space="preserve">warranty</t>
  </si>
  <si>
    <r>
      <rPr>
        <sz val="10"/>
        <color rgb="FF000000"/>
        <rFont val="Arial"/>
        <family val="0"/>
        <charset val="1"/>
      </rPr>
      <t xml:space="preserve">Warranty Reserve (Robot </t>
    </r>
    <r>
      <rPr>
        <sz val="10"/>
        <color rgb="FF000000"/>
        <rFont val="WenQuanYi Zen Hei"/>
        <family val="2"/>
      </rPr>
      <t xml:space="preserve">매출 대비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</si>
  <si>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년 무상 </t>
    </r>
    <r>
      <rPr>
        <sz val="10"/>
        <color rgb="FF000000"/>
        <rFont val="Arial"/>
        <family val="0"/>
        <charset val="1"/>
      </rPr>
      <t xml:space="preserve">A/S</t>
    </r>
  </si>
  <si>
    <t xml:space="preserve">corrective</t>
  </si>
  <si>
    <r>
      <rPr>
        <sz val="10"/>
        <color rgb="FF000000"/>
        <rFont val="WenQuanYi Zen Hei"/>
        <family val="2"/>
      </rPr>
      <t xml:space="preserve">고장 방문 </t>
    </r>
    <r>
      <rPr>
        <sz val="10"/>
        <color rgb="FF000000"/>
        <rFont val="Arial"/>
        <family val="0"/>
        <charset val="1"/>
      </rPr>
      <t xml:space="preserve">(Failure Rate)</t>
    </r>
  </si>
  <si>
    <r>
      <rPr>
        <sz val="10"/>
        <color rgb="FF000000"/>
        <rFont val="WenQuanYi Zen Hei"/>
        <family val="2"/>
      </rPr>
      <t xml:space="preserve">회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년</t>
    </r>
  </si>
  <si>
    <t xml:space="preserve">corr_cost</t>
  </si>
  <si>
    <r>
      <rPr>
        <sz val="10"/>
        <color rgb="FF000000"/>
        <rFont val="WenQuanYi Zen Hei"/>
        <family val="2"/>
      </rPr>
      <t xml:space="preserve">고장 방문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회 원가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소부품 포함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</si>
  <si>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회</t>
    </r>
  </si>
  <si>
    <t xml:space="preserve">cloud</t>
  </si>
  <si>
    <r>
      <rPr>
        <sz val="10"/>
        <color rgb="FF000000"/>
        <rFont val="Arial"/>
        <family val="0"/>
        <charset val="1"/>
      </rPr>
      <t xml:space="preserve">Cloud·Software </t>
    </r>
    <r>
      <rPr>
        <sz val="10"/>
        <color rgb="FF000000"/>
        <rFont val="WenQuanYi Zen Hei"/>
        <family val="2"/>
      </rPr>
      <t xml:space="preserve">운영비</t>
    </r>
  </si>
  <si>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년</t>
    </r>
  </si>
  <si>
    <t xml:space="preserve">cons_cogs</t>
  </si>
  <si>
    <r>
      <rPr>
        <sz val="10"/>
        <color rgb="FF000000"/>
        <rFont val="Arial"/>
        <family val="0"/>
        <charset val="1"/>
      </rPr>
      <t xml:space="preserve">Consumables </t>
    </r>
    <r>
      <rPr>
        <sz val="10"/>
        <color rgb="FF000000"/>
        <rFont val="WenQuanYi Zen Hei"/>
        <family val="2"/>
      </rPr>
      <t xml:space="preserve">원가율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물류 포함</t>
    </r>
    <r>
      <rPr>
        <sz val="10"/>
        <color rgb="FF000000"/>
        <rFont val="Arial"/>
        <family val="0"/>
        <charset val="1"/>
      </rPr>
      <t xml:space="preserve">)</t>
    </r>
  </si>
  <si>
    <t xml:space="preserve">sw_cogs</t>
  </si>
  <si>
    <r>
      <rPr>
        <sz val="10"/>
        <color rgb="FF000000"/>
        <rFont val="Arial"/>
        <family val="0"/>
        <charset val="1"/>
      </rPr>
      <t xml:space="preserve">Software </t>
    </r>
    <r>
      <rPr>
        <sz val="10"/>
        <color rgb="FF000000"/>
        <rFont val="WenQuanYi Zen Hei"/>
        <family val="2"/>
      </rPr>
      <t xml:space="preserve">원가율</t>
    </r>
  </si>
  <si>
    <t xml:space="preserve">tool_cogs</t>
  </si>
  <si>
    <r>
      <rPr>
        <sz val="10"/>
        <color rgb="FF000000"/>
        <rFont val="Arial"/>
        <family val="0"/>
        <charset val="1"/>
      </rPr>
      <t xml:space="preserve">Tool </t>
    </r>
    <r>
      <rPr>
        <sz val="10"/>
        <color rgb="FF000000"/>
        <rFont val="WenQuanYi Zen Hei"/>
        <family val="2"/>
      </rPr>
      <t xml:space="preserve">원가율</t>
    </r>
  </si>
  <si>
    <t xml:space="preserve">partner_margin</t>
  </si>
  <si>
    <r>
      <rPr>
        <sz val="10"/>
        <color rgb="FF000000"/>
        <rFont val="Arial"/>
        <family val="0"/>
        <charset val="1"/>
      </rPr>
      <t xml:space="preserve">Kitchen·Interior Partner </t>
    </r>
    <r>
      <rPr>
        <sz val="10"/>
        <color rgb="FF000000"/>
        <rFont val="WenQuanYi Zen Hei"/>
        <family val="2"/>
      </rPr>
      <t xml:space="preserve">수수료 </t>
    </r>
    <r>
      <rPr>
        <sz val="10"/>
        <color rgb="FF000000"/>
        <rFont val="Arial"/>
        <family val="0"/>
        <charset val="1"/>
      </rPr>
      <t xml:space="preserve">(Partner </t>
    </r>
    <r>
      <rPr>
        <sz val="10"/>
        <color rgb="FF000000"/>
        <rFont val="WenQuanYi Zen Hei"/>
        <family val="2"/>
      </rPr>
      <t xml:space="preserve">경유 패키지</t>
    </r>
    <r>
      <rPr>
        <sz val="10"/>
        <color rgb="FF000000"/>
        <rFont val="Arial"/>
        <family val="0"/>
        <charset val="1"/>
      </rPr>
      <t xml:space="preserve">)</t>
    </r>
  </si>
  <si>
    <t xml:space="preserve">cac</t>
  </si>
  <si>
    <r>
      <rPr>
        <sz val="10"/>
        <color rgb="FF000000"/>
        <rFont val="WenQuanYi Zen Hei"/>
        <family val="2"/>
      </rPr>
      <t xml:space="preserve">직접판매 획득비용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상담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설계</t>
    </r>
    <r>
      <rPr>
        <sz val="10"/>
        <color rgb="FF000000"/>
        <rFont val="Arial"/>
        <family val="0"/>
        <charset val="1"/>
      </rPr>
      <t xml:space="preserve">·Demo)</t>
    </r>
  </si>
  <si>
    <t xml:space="preserve">bd_new</t>
  </si>
  <si>
    <r>
      <rPr>
        <sz val="10"/>
        <color rgb="FF000000"/>
        <rFont val="WenQuanYi Zen Hei"/>
        <family val="2"/>
      </rPr>
      <t xml:space="preserve">신축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수주비용 </t>
    </r>
    <r>
      <rPr>
        <sz val="10"/>
        <color rgb="FF000000"/>
        <rFont val="Arial"/>
        <family val="0"/>
        <charset val="1"/>
      </rPr>
      <t xml:space="preserve">(Spec·</t>
    </r>
    <r>
      <rPr>
        <sz val="10"/>
        <color rgb="FF000000"/>
        <rFont val="WenQuanYi Zen Hei"/>
        <family val="2"/>
      </rPr>
      <t xml:space="preserve">견본주택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</si>
  <si>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/Project</t>
    </r>
  </si>
  <si>
    <t xml:space="preserve">residual</t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</si>
  <si>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자산 잔존가치 </t>
    </r>
    <r>
      <rPr>
        <sz val="10"/>
        <color rgb="FF000000"/>
        <rFont val="Arial"/>
        <family val="0"/>
        <charset val="1"/>
      </rPr>
      <t xml:space="preserve">(60</t>
    </r>
    <r>
      <rPr>
        <sz val="10"/>
        <color rgb="FF000000"/>
        <rFont val="WenQuanYi Zen Hei"/>
        <family val="2"/>
      </rPr>
      <t xml:space="preserve">개월 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</si>
  <si>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Refurbish </t>
    </r>
    <r>
      <rPr>
        <sz val="10"/>
        <color rgb="FF000000"/>
        <rFont val="WenQuanYi Zen Hei"/>
        <family val="2"/>
      </rPr>
      <t xml:space="preserve">재배치</t>
    </r>
  </si>
  <si>
    <t xml:space="preserve">fin_rate</t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</si>
  <si>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자산 금융비용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</si>
  <si>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WenQuanYi Zen Hei"/>
        <family val="2"/>
      </rPr>
      <t xml:space="preserve">년</t>
    </r>
  </si>
  <si>
    <r>
      <rPr>
        <sz val="10"/>
        <color rgb="FF000000"/>
        <rFont val="WenQuanYi Zen Hei"/>
        <family val="2"/>
      </rPr>
      <t xml:space="preserve">캐피탈 조달금리</t>
    </r>
    <r>
      <rPr>
        <sz val="10"/>
        <color rgb="FF000000"/>
        <rFont val="Arial"/>
        <family val="0"/>
        <charset val="1"/>
      </rPr>
      <t xml:space="preserve">+Spread </t>
    </r>
    <r>
      <rPr>
        <sz val="10"/>
        <color rgb="FF000000"/>
        <rFont val="WenQuanYi Zen Hei"/>
        <family val="2"/>
      </rPr>
      <t xml:space="preserve">가정</t>
    </r>
  </si>
  <si>
    <t xml:space="preserve">payback_hurdle</t>
  </si>
  <si>
    <r>
      <rPr>
        <sz val="10"/>
        <color rgb="FF000000"/>
        <rFont val="Arial"/>
        <family val="0"/>
        <charset val="1"/>
      </rPr>
      <t xml:space="preserve">Rental Partner </t>
    </r>
    <r>
      <rPr>
        <sz val="10"/>
        <color rgb="FF000000"/>
        <rFont val="WenQuanYi Zen Hei"/>
        <family val="2"/>
      </rPr>
      <t xml:space="preserve">요구 </t>
    </r>
    <r>
      <rPr>
        <sz val="10"/>
        <color rgb="FF000000"/>
        <rFont val="Arial"/>
        <family val="0"/>
        <charset val="1"/>
      </rPr>
      <t xml:space="preserve">Payback</t>
    </r>
  </si>
  <si>
    <r>
      <rPr>
        <sz val="10"/>
        <color rgb="FF000000"/>
        <rFont val="WenQuanYi Zen Hei"/>
        <family val="2"/>
      </rPr>
      <t xml:space="preserve">렌탈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캐피탈사 협의로 검증</t>
    </r>
  </si>
  <si>
    <t xml:space="preserve">VOLUME</t>
  </si>
  <si>
    <t xml:space="preserve">later_attach</t>
  </si>
  <si>
    <r>
      <rPr>
        <sz val="10"/>
        <color rgb="FF000000"/>
        <rFont val="Arial"/>
        <family val="0"/>
        <charset val="1"/>
      </rPr>
      <t xml:space="preserve">Robot-ready Only </t>
    </r>
    <r>
      <rPr>
        <sz val="10"/>
        <color rgb="FF000000"/>
        <rFont val="WenQuanYi Zen Hei"/>
        <family val="2"/>
      </rPr>
      <t xml:space="preserve">세대의 연간 후속 </t>
    </r>
    <r>
      <rPr>
        <sz val="10"/>
        <color rgb="FF000000"/>
        <rFont val="Arial"/>
        <family val="0"/>
        <charset val="1"/>
      </rPr>
      <t xml:space="preserve">Attach</t>
    </r>
  </si>
  <si>
    <t xml:space="preserve">hh_project</t>
  </si>
  <si>
    <r>
      <rPr>
        <sz val="10"/>
        <color rgb="FF000000"/>
        <rFont val="Arial"/>
        <family val="0"/>
        <charset val="1"/>
      </rPr>
      <t xml:space="preserve">Project</t>
    </r>
    <r>
      <rPr>
        <sz val="10"/>
        <color rgb="FF000000"/>
        <rFont val="WenQuanYi Zen Hei"/>
        <family val="2"/>
      </rPr>
      <t xml:space="preserve">당 세대수</t>
    </r>
  </si>
  <si>
    <t xml:space="preserve">option_rate</t>
  </si>
  <si>
    <r>
      <rPr>
        <sz val="10"/>
        <color rgb="FF000000"/>
        <rFont val="WenQuanYi Zen Hei"/>
        <family val="2"/>
      </rPr>
      <t xml:space="preserve">신축 </t>
    </r>
    <r>
      <rPr>
        <sz val="10"/>
        <color rgb="FF000000"/>
        <rFont val="Arial"/>
        <family val="0"/>
        <charset val="1"/>
      </rPr>
      <t xml:space="preserve">Robot-ready Option </t>
    </r>
    <r>
      <rPr>
        <sz val="10"/>
        <color rgb="FF000000"/>
        <rFont val="WenQuanYi Zen Hei"/>
        <family val="2"/>
      </rPr>
      <t xml:space="preserve">선택률</t>
    </r>
  </si>
  <si>
    <t xml:space="preserve">new_attach</t>
  </si>
  <si>
    <r>
      <rPr>
        <sz val="10"/>
        <color rgb="FF000000"/>
        <rFont val="WenQuanYi Zen Hei"/>
        <family val="2"/>
      </rPr>
      <t xml:space="preserve">신축 입주 시 </t>
    </r>
    <r>
      <rPr>
        <sz val="10"/>
        <color rgb="FF000000"/>
        <rFont val="Arial"/>
        <family val="0"/>
        <charset val="1"/>
      </rPr>
      <t xml:space="preserve">Robot Attach</t>
    </r>
  </si>
  <si>
    <t xml:space="preserve">OPEX</t>
  </si>
  <si>
    <t xml:space="preserve">loaded</t>
  </si>
  <si>
    <r>
      <rPr>
        <sz val="10"/>
        <color rgb="FF000000"/>
        <rFont val="WenQuanYi Zen Hei"/>
        <family val="2"/>
      </rPr>
      <t xml:space="preserve">인당 연 인건비 </t>
    </r>
    <r>
      <rPr>
        <sz val="10"/>
        <color rgb="FF000000"/>
        <rFont val="Arial"/>
        <family val="0"/>
        <charset val="1"/>
      </rPr>
      <t xml:space="preserve">(4</t>
    </r>
    <r>
      <rPr>
        <sz val="10"/>
        <color rgb="FF000000"/>
        <rFont val="WenQuanYi Zen Hei"/>
        <family val="2"/>
      </rPr>
      <t xml:space="preserve">대보험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퇴직급여 포함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</si>
  <si>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평균 연봉 약 </t>
    </r>
    <r>
      <rPr>
        <sz val="10"/>
        <color rgb="FF000000"/>
        <rFont val="Arial"/>
        <family val="0"/>
        <charset val="1"/>
      </rPr>
      <t xml:space="preserve">7,100</t>
    </r>
    <r>
      <rPr>
        <sz val="10"/>
        <color rgb="FF000000"/>
        <rFont val="WenQuanYi Zen Hei"/>
        <family val="2"/>
      </rPr>
      <t xml:space="preserve">만원 </t>
    </r>
    <r>
      <rPr>
        <sz val="10"/>
        <color rgb="FF000000"/>
        <rFont val="Arial"/>
        <family val="0"/>
        <charset val="1"/>
      </rPr>
      <t xml:space="preserve">× 1.2</t>
    </r>
  </si>
  <si>
    <t xml:space="preserve">FUNDING</t>
  </si>
  <si>
    <t xml:space="preserve">tips</t>
  </si>
  <si>
    <r>
      <rPr>
        <sz val="10"/>
        <color rgb="FF000000"/>
        <rFont val="Arial"/>
        <family val="0"/>
        <charset val="1"/>
      </rPr>
      <t xml:space="preserve">TIPS R&amp;D </t>
    </r>
    <r>
      <rPr>
        <sz val="10"/>
        <color rgb="FF000000"/>
        <rFont val="WenQuanYi Zen Hei"/>
        <family val="2"/>
      </rPr>
      <t xml:space="preserve">정부지원금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일반 트랙 최대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</si>
  <si>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중소벤처기업부 공고 제</t>
    </r>
    <r>
      <rPr>
        <sz val="10"/>
        <color rgb="FF000000"/>
        <rFont val="Arial"/>
        <family val="0"/>
        <charset val="1"/>
      </rPr>
      <t xml:space="preserve">2026-40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(2026.1.26) </t>
    </r>
    <r>
      <rPr>
        <sz val="10"/>
        <color rgb="FF000000"/>
        <rFont val="WenQuanYi Zen Hei"/>
        <family val="2"/>
      </rPr>
      <t xml:space="preserve">팁스 창업기업 지원계획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선정 미확정</t>
    </r>
  </si>
  <si>
    <t xml:space="preserve">tips_months</t>
  </si>
  <si>
    <r>
      <rPr>
        <sz val="10"/>
        <color rgb="FF000000"/>
        <rFont val="Arial"/>
        <family val="0"/>
        <charset val="1"/>
      </rPr>
      <t xml:space="preserve">TIPS R&amp;D </t>
    </r>
    <r>
      <rPr>
        <sz val="10"/>
        <color rgb="FF000000"/>
        <rFont val="WenQuanYi Zen Hei"/>
        <family val="2"/>
      </rPr>
      <t xml:space="preserve">기간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최대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</si>
  <si>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공고 제</t>
    </r>
    <r>
      <rPr>
        <sz val="10"/>
        <color rgb="FF000000"/>
        <rFont val="Arial"/>
        <family val="0"/>
        <charset val="1"/>
      </rPr>
      <t xml:space="preserve">2026-40</t>
    </r>
    <r>
      <rPr>
        <sz val="10"/>
        <color rgb="FF000000"/>
        <rFont val="WenQuanYi Zen Hei"/>
        <family val="2"/>
      </rPr>
      <t xml:space="preserve">호</t>
    </r>
  </si>
  <si>
    <t xml:space="preserve">tips_gov_ratio</t>
  </si>
  <si>
    <r>
      <rPr>
        <sz val="10"/>
        <color rgb="FF000000"/>
        <rFont val="WenQuanYi Zen Hei"/>
        <family val="2"/>
      </rPr>
      <t xml:space="preserve">정부지원연구개발비 비율 상한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총 연구개발비 대비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</si>
  <si>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공고 제</t>
    </r>
    <r>
      <rPr>
        <sz val="10"/>
        <color rgb="FF000000"/>
        <rFont val="Arial"/>
        <family val="0"/>
        <charset val="1"/>
      </rPr>
      <t xml:space="preserve">2026-40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사본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운용사 정리 기준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정부 </t>
    </r>
    <r>
      <rPr>
        <sz val="10"/>
        <color rgb="FF000000"/>
        <rFont val="Arial"/>
        <family val="0"/>
        <charset val="1"/>
      </rPr>
      <t xml:space="preserve">75% </t>
    </r>
    <r>
      <rPr>
        <sz val="10"/>
        <color rgb="FF000000"/>
        <rFont val="WenQuanYi Zen Hei"/>
        <family val="2"/>
      </rPr>
      <t xml:space="preserve">이내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기관부담 </t>
    </r>
    <r>
      <rPr>
        <sz val="10"/>
        <color rgb="FF000000"/>
        <rFont val="Arial"/>
        <family val="0"/>
        <charset val="1"/>
      </rPr>
      <t xml:space="preserve">25% </t>
    </r>
    <r>
      <rPr>
        <sz val="10"/>
        <color rgb="FF000000"/>
        <rFont val="WenQuanYi Zen Hei"/>
        <family val="2"/>
      </rPr>
      <t xml:space="preserve">이상</t>
    </r>
    <r>
      <rPr>
        <sz val="10"/>
        <color rgb="FF000000"/>
        <rFont val="Arial"/>
        <family val="0"/>
        <charset val="1"/>
      </rPr>
      <t xml:space="preserve">)</t>
    </r>
  </si>
  <si>
    <t xml:space="preserve">tips_cash_ratio</t>
  </si>
  <si>
    <t xml:space="preserve">기관부담연구개발비 중 현금 최소 비율</t>
  </si>
  <si>
    <r>
      <rPr>
        <sz val="10"/>
        <color rgb="FF000000"/>
        <rFont val="WenQuanYi Zen Hei"/>
        <family val="2"/>
      </rPr>
      <t xml:space="preserve">공고 제</t>
    </r>
    <r>
      <rPr>
        <sz val="10"/>
        <color rgb="FF000000"/>
        <rFont val="Arial"/>
        <family val="0"/>
        <charset val="1"/>
      </rPr>
      <t xml:space="preserve">2026-40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사본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운용사 정리 기준</t>
    </r>
    <r>
      <rPr>
        <sz val="10"/>
        <color rgb="FF000000"/>
        <rFont val="Arial"/>
        <family val="0"/>
        <charset val="1"/>
      </rPr>
      <t xml:space="preserve">)</t>
    </r>
  </si>
  <si>
    <t xml:space="preserve">op_invest</t>
  </si>
  <si>
    <r>
      <rPr>
        <sz val="10"/>
        <color rgb="FF000000"/>
        <rFont val="WenQuanYi Zen Hei"/>
        <family val="2"/>
      </rPr>
      <t xml:space="preserve">운영사 투자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요청액</t>
    </r>
    <r>
      <rPr>
        <sz val="10"/>
        <color rgb="FF000000"/>
        <rFont val="Arial"/>
        <family val="0"/>
        <charset val="1"/>
      </rPr>
      <t xml:space="preserve">, TIPS </t>
    </r>
    <r>
      <rPr>
        <sz val="10"/>
        <color rgb="FF000000"/>
        <rFont val="WenQuanYi Zen Hei"/>
        <family val="2"/>
      </rPr>
      <t xml:space="preserve">추천 전제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</si>
  <si>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요건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수도권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억원 이상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비수도권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억원 이상 </t>
    </r>
    <r>
      <rPr>
        <sz val="10"/>
        <color rgb="FF000000"/>
        <rFont val="Arial"/>
        <family val="0"/>
        <charset val="1"/>
      </rPr>
      <t xml:space="preserve">(2026). </t>
    </r>
    <r>
      <rPr>
        <sz val="10"/>
        <color rgb="FF000000"/>
        <rFont val="WenQuanYi Zen Hei"/>
        <family val="2"/>
      </rPr>
      <t xml:space="preserve">조건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형태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기업가치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지분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은 협의</t>
    </r>
  </si>
  <si>
    <t xml:space="preserve">followon</t>
  </si>
  <si>
    <r>
      <rPr>
        <sz val="10"/>
        <color rgb="FF000000"/>
        <rFont val="WenQuanYi Zen Hei"/>
        <family val="2"/>
      </rPr>
      <t xml:space="preserve">후속 투자 </t>
    </r>
    <r>
      <rPr>
        <sz val="10"/>
        <color rgb="FF000000"/>
        <rFont val="Arial"/>
        <family val="0"/>
        <charset val="1"/>
      </rPr>
      <t xml:space="preserve">(M12 </t>
    </r>
    <r>
      <rPr>
        <sz val="10"/>
        <color rgb="FF000000"/>
        <rFont val="WenQuanYi Zen Hei"/>
        <family val="2"/>
      </rPr>
      <t xml:space="preserve">목표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공동투자 </t>
    </r>
    <r>
      <rPr>
        <sz val="10"/>
        <color rgb="FF000000"/>
        <rFont val="Arial"/>
        <family val="0"/>
        <charset val="1"/>
      </rPr>
      <t xml:space="preserve">· Pre-A)</t>
    </r>
  </si>
  <si>
    <t xml:space="preserve">TARGET</t>
  </si>
  <si>
    <r>
      <rPr>
        <sz val="10"/>
        <color rgb="FF000000"/>
        <rFont val="Arial"/>
        <family val="0"/>
        <charset val="1"/>
      </rPr>
      <t xml:space="preserve">M9 · M12 </t>
    </r>
    <r>
      <rPr>
        <sz val="10"/>
        <color rgb="FF000000"/>
        <rFont val="WenQuanYi Zen Hei"/>
        <family val="2"/>
      </rPr>
      <t xml:space="preserve">점검 결과 기반</t>
    </r>
  </si>
  <si>
    <t xml:space="preserve">biz_link</t>
  </si>
  <si>
    <r>
      <rPr>
        <sz val="10"/>
        <color rgb="FF000000"/>
        <rFont val="WenQuanYi Zen Hei"/>
        <family val="2"/>
      </rPr>
      <t xml:space="preserve">비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WenQuanYi Zen Hei"/>
        <family val="2"/>
      </rPr>
      <t xml:space="preserve">연계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창업사업화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해외마케팅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각 최대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선정 뒤 별도 신청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기본안 미반영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</si>
  <si>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공고 제</t>
    </r>
    <r>
      <rPr>
        <sz val="10"/>
        <color rgb="FF000000"/>
        <rFont val="Arial"/>
        <family val="0"/>
        <charset val="1"/>
      </rPr>
      <t xml:space="preserve">2026-40</t>
    </r>
    <r>
      <rPr>
        <sz val="10"/>
        <color rgb="FF000000"/>
        <rFont val="WenQuanYi Zen Hei"/>
        <family val="2"/>
      </rPr>
      <t xml:space="preserve">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각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개월 최대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WenQuanYi Zen Hei"/>
        <family val="2"/>
      </rPr>
      <t xml:space="preserve">억원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합산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억원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정부 </t>
    </r>
    <r>
      <rPr>
        <sz val="10"/>
        <color rgb="FF000000"/>
        <rFont val="Arial"/>
        <family val="0"/>
        <charset val="1"/>
      </rPr>
      <t xml:space="preserve">70% </t>
    </r>
    <r>
      <rPr>
        <sz val="10"/>
        <color rgb="FF000000"/>
        <rFont val="WenQuanYi Zen Hei"/>
        <family val="2"/>
      </rPr>
      <t xml:space="preserve">이내</t>
    </r>
  </si>
  <si>
    <r>
      <rPr>
        <b val="true"/>
        <sz val="14"/>
        <rFont val="Arial"/>
        <family val="0"/>
        <charset val="1"/>
      </rPr>
      <t xml:space="preserve">Inputs_Yearly — </t>
    </r>
    <r>
      <rPr>
        <b val="true"/>
        <sz val="14"/>
        <rFont val="WenQuanYi Zen Hei"/>
        <family val="2"/>
      </rPr>
      <t xml:space="preserve">연도별 가정</t>
    </r>
  </si>
  <si>
    <t xml:space="preserve">Scenario</t>
  </si>
  <si>
    <t xml:space="preserve">realization</t>
  </si>
  <si>
    <r>
      <rPr>
        <sz val="10"/>
        <color rgb="FF000000"/>
        <rFont val="WenQuanYi Zen Hei"/>
        <family val="2"/>
      </rPr>
      <t xml:space="preserve">가격 실현율 </t>
    </r>
    <r>
      <rPr>
        <sz val="10"/>
        <color rgb="FF000000"/>
        <rFont val="Arial"/>
        <family val="0"/>
        <charset val="1"/>
      </rPr>
      <t xml:space="preserve">(Y2 Pilot </t>
    </r>
    <r>
      <rPr>
        <sz val="10"/>
        <color rgb="FF000000"/>
        <rFont val="WenQuanYi Zen Hei"/>
        <family val="2"/>
      </rPr>
      <t xml:space="preserve">할인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</si>
  <si>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Pilot</t>
    </r>
    <r>
      <rPr>
        <sz val="10"/>
        <color rgb="FF000000"/>
        <rFont val="WenQuanYi Zen Hei"/>
        <family val="2"/>
      </rPr>
      <t xml:space="preserve">은 할인 유료</t>
    </r>
  </si>
  <si>
    <t xml:space="preserve">smr</t>
  </si>
  <si>
    <r>
      <rPr>
        <sz val="10"/>
        <color rgb="FF000000"/>
        <rFont val="Arial"/>
        <family val="0"/>
        <charset val="1"/>
      </rPr>
      <t xml:space="preserve">Standard Module </t>
    </r>
    <r>
      <rPr>
        <sz val="10"/>
        <color rgb="FF000000"/>
        <rFont val="WenQuanYi Zen Hei"/>
        <family val="2"/>
      </rPr>
      <t xml:space="preserve">사용률</t>
    </r>
  </si>
  <si>
    <r>
      <rPr>
        <sz val="10"/>
        <color rgb="FF000000"/>
        <rFont val="Arial"/>
        <family val="0"/>
        <charset val="1"/>
      </rPr>
      <t xml:space="preserve">Seed </t>
    </r>
    <r>
      <rPr>
        <sz val="10"/>
        <color rgb="FF000000"/>
        <rFont val="WenQuanYi Zen Hei"/>
        <family val="2"/>
      </rPr>
      <t xml:space="preserve">종료 시 </t>
    </r>
    <r>
      <rPr>
        <sz val="10"/>
        <color rgb="FF000000"/>
        <rFont val="Arial"/>
        <family val="0"/>
        <charset val="1"/>
      </rPr>
      <t xml:space="preserve">65% </t>
    </r>
    <r>
      <rPr>
        <sz val="10"/>
        <color rgb="FF000000"/>
        <rFont val="WenQuanYi Zen Hei"/>
        <family val="2"/>
      </rPr>
      <t xml:space="preserve">이상 </t>
    </r>
    <r>
      <rPr>
        <sz val="10"/>
        <color rgb="FF000000"/>
        <rFont val="Arial"/>
        <family val="0"/>
        <charset val="1"/>
      </rPr>
      <t xml:space="preserve">(Kill Criteria: M18 60% </t>
    </r>
    <r>
      <rPr>
        <sz val="10"/>
        <color rgb="FF000000"/>
        <rFont val="WenQuanYi Zen Hei"/>
        <family val="2"/>
      </rPr>
      <t xml:space="preserve">미만</t>
    </r>
    <r>
      <rPr>
        <sz val="10"/>
        <color rgb="FF000000"/>
        <rFont val="Arial"/>
        <family val="0"/>
        <charset val="1"/>
      </rPr>
      <t xml:space="preserve">)</t>
    </r>
  </si>
  <si>
    <t xml:space="preserve">bom</t>
  </si>
  <si>
    <t xml:space="preserve">Robot Module BOM</t>
  </si>
  <si>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WenQuanYi Zen Hei"/>
        <family val="2"/>
      </rPr>
      <t xml:space="preserve">부품 </t>
    </r>
    <r>
      <rPr>
        <sz val="10"/>
        <color rgb="FF000000"/>
        <rFont val="Arial"/>
        <family val="0"/>
        <charset val="1"/>
      </rPr>
      <t xml:space="preserve">Benchmark </t>
    </r>
    <r>
      <rPr>
        <sz val="10"/>
        <color rgb="FF000000"/>
        <rFont val="WenQuanYi Zen Hei"/>
        <family val="2"/>
      </rPr>
      <t xml:space="preserve">기반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수량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국산화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전용 </t>
    </r>
    <r>
      <rPr>
        <sz val="10"/>
        <color rgb="FF000000"/>
        <rFont val="Arial"/>
        <family val="0"/>
        <charset val="1"/>
      </rPr>
      <t xml:space="preserve">Arm</t>
    </r>
    <r>
      <rPr>
        <sz val="10"/>
        <color rgb="FF000000"/>
        <rFont val="WenQuanYi Zen Hei"/>
        <family val="2"/>
      </rPr>
      <t xml:space="preserve">으로 하락 가정</t>
    </r>
  </si>
  <si>
    <t xml:space="preserve">comm_cost</t>
  </si>
  <si>
    <r>
      <rPr>
        <sz val="10"/>
        <color rgb="FF000000"/>
        <rFont val="WenQuanYi Zen Hei"/>
        <family val="2"/>
      </rPr>
      <t xml:space="preserve">설치</t>
    </r>
    <r>
      <rPr>
        <sz val="10"/>
        <color rgb="FF000000"/>
        <rFont val="Arial"/>
        <family val="0"/>
        <charset val="1"/>
      </rPr>
      <t xml:space="preserve">·Calibration </t>
    </r>
    <r>
      <rPr>
        <sz val="10"/>
        <color rgb="FF000000"/>
        <rFont val="WenQuanYi Zen Hei"/>
        <family val="2"/>
      </rPr>
      <t xml:space="preserve">원가 </t>
    </r>
    <r>
      <rPr>
        <sz val="10"/>
        <color rgb="FF000000"/>
        <rFont val="Arial"/>
        <family val="0"/>
        <charset val="1"/>
      </rPr>
      <t xml:space="preserve">(ARKI </t>
    </r>
    <r>
      <rPr>
        <sz val="10"/>
        <color rgb="FF000000"/>
        <rFont val="WenQuanYi Zen Hei"/>
        <family val="2"/>
      </rPr>
      <t xml:space="preserve">인력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</si>
  <si>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설치시간 </t>
    </r>
    <r>
      <rPr>
        <sz val="10"/>
        <color rgb="FF000000"/>
        <rFont val="Arial"/>
        <family val="0"/>
        <charset val="1"/>
      </rPr>
      <t xml:space="preserve">TARGET</t>
    </r>
    <r>
      <rPr>
        <sz val="10"/>
        <color rgb="FF000000"/>
        <rFont val="WenQuanYi Zen Hei"/>
        <family val="2"/>
      </rPr>
      <t xml:space="preserve">과 연동</t>
    </r>
  </si>
  <si>
    <t xml:space="preserve">visits</t>
  </si>
  <si>
    <t xml:space="preserve">정기 방문 횟수</t>
  </si>
  <si>
    <t xml:space="preserve">원격진단 고도화로 감소</t>
  </si>
  <si>
    <t xml:space="preserve">visit_cost</t>
  </si>
  <si>
    <r>
      <rPr>
        <sz val="10"/>
        <color rgb="FF000000"/>
        <rFont val="WenQuanYi Zen Hei"/>
        <family val="2"/>
      </rPr>
      <t xml:space="preserve">방문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회 원가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인건비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이동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</si>
  <si>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참고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제조사 출장비 </t>
    </r>
    <r>
      <rPr>
        <sz val="10"/>
        <color rgb="FF000000"/>
        <rFont val="Arial"/>
        <family val="0"/>
        <charset val="1"/>
      </rPr>
      <t xml:space="preserve">2.8</t>
    </r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소비자 부과분</t>
    </r>
    <r>
      <rPr>
        <sz val="10"/>
        <color rgb="FF000000"/>
        <rFont val="Arial"/>
        <family val="0"/>
        <charset val="1"/>
      </rPr>
      <t xml:space="preserve">, 2026)</t>
    </r>
    <r>
      <rPr>
        <sz val="10"/>
        <color rgb="FF000000"/>
        <rFont val="WenQuanYi Zen Hei"/>
        <family val="2"/>
      </rPr>
      <t xml:space="preserve">과 별개인 실제 원가</t>
    </r>
    <r>
      <rPr>
        <sz val="10"/>
        <color rgb="FF000000"/>
        <rFont val="Arial"/>
        <family val="0"/>
        <charset val="1"/>
      </rPr>
      <t xml:space="preserve">. Route Density</t>
    </r>
    <r>
      <rPr>
        <sz val="10"/>
        <color rgb="FF000000"/>
        <rFont val="WenQuanYi Zen Hei"/>
        <family val="2"/>
      </rPr>
      <t xml:space="preserve">로 하락</t>
    </r>
  </si>
  <si>
    <t xml:space="preserve">rd</t>
  </si>
  <si>
    <r>
      <rPr>
        <sz val="10"/>
        <color rgb="FF000000"/>
        <rFont val="WenQuanYi Zen Hei"/>
        <family val="2"/>
      </rPr>
      <t xml:space="preserve">구축 직접판매 </t>
    </r>
    <r>
      <rPr>
        <sz val="10"/>
        <color rgb="FF000000"/>
        <rFont val="Arial"/>
        <family val="0"/>
        <charset val="1"/>
      </rPr>
      <t xml:space="preserve">Kitchen</t>
    </r>
  </si>
  <si>
    <r>
      <rPr>
        <sz val="10"/>
        <color rgb="FF000000"/>
        <rFont val="Arial"/>
        <family val="0"/>
        <charset val="1"/>
      </rPr>
      <t xml:space="preserve">Y2 = </t>
    </r>
    <r>
      <rPr>
        <sz val="10"/>
        <color rgb="FF000000"/>
        <rFont val="WenQuanYi Zen Hei"/>
        <family val="2"/>
      </rPr>
      <t xml:space="preserve">가정 실증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세대 </t>
    </r>
    <r>
      <rPr>
        <sz val="10"/>
        <color rgb="FF000000"/>
        <rFont val="Arial"/>
        <family val="0"/>
        <charset val="1"/>
      </rPr>
      <t xml:space="preserve">(TIPS </t>
    </r>
    <r>
      <rPr>
        <sz val="10"/>
        <color rgb="FF000000"/>
        <rFont val="WenQuanYi Zen Hei"/>
        <family val="2"/>
      </rPr>
      <t xml:space="preserve">과제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유료 목표</t>
    </r>
    <r>
      <rPr>
        <sz val="10"/>
        <color rgb="FF000000"/>
        <rFont val="Arial"/>
        <family val="0"/>
        <charset val="1"/>
      </rPr>
      <t xml:space="preserve">)</t>
    </r>
  </si>
  <si>
    <t xml:space="preserve">rp</t>
  </si>
  <si>
    <r>
      <rPr>
        <sz val="10"/>
        <color rgb="FF000000"/>
        <rFont val="WenQuanYi Zen Hei"/>
        <family val="2"/>
      </rPr>
      <t xml:space="preserve">구축 </t>
    </r>
    <r>
      <rPr>
        <sz val="10"/>
        <color rgb="FF000000"/>
        <rFont val="Arial"/>
        <family val="0"/>
        <charset val="1"/>
      </rPr>
      <t xml:space="preserve">Partner </t>
    </r>
    <r>
      <rPr>
        <sz val="10"/>
        <color rgb="FF000000"/>
        <rFont val="WenQuanYi Zen Hei"/>
        <family val="2"/>
      </rPr>
      <t xml:space="preserve">경유 </t>
    </r>
    <r>
      <rPr>
        <sz val="10"/>
        <color rgb="FF000000"/>
        <rFont val="Arial"/>
        <family val="0"/>
        <charset val="1"/>
      </rPr>
      <t xml:space="preserve">Kitchen</t>
    </r>
  </si>
  <si>
    <r>
      <rPr>
        <sz val="10"/>
        <color rgb="FF000000"/>
        <rFont val="Arial"/>
        <family val="0"/>
        <charset val="1"/>
      </rPr>
      <t xml:space="preserve">Kitchen </t>
    </r>
    <r>
      <rPr>
        <sz val="10"/>
        <color rgb="FF000000"/>
        <rFont val="WenQuanYi Zen Hei"/>
        <family val="2"/>
      </rPr>
      <t xml:space="preserve">가구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인테리어 </t>
    </r>
    <r>
      <rPr>
        <sz val="10"/>
        <color rgb="FF000000"/>
        <rFont val="Arial"/>
        <family val="0"/>
        <charset val="1"/>
      </rPr>
      <t xml:space="preserve">Partner</t>
    </r>
  </si>
  <si>
    <t xml:space="preserve">attach</t>
  </si>
  <si>
    <r>
      <rPr>
        <sz val="10"/>
        <color rgb="FF000000"/>
        <rFont val="Arial"/>
        <family val="0"/>
        <charset val="1"/>
      </rPr>
      <t xml:space="preserve">Robot Attach Rate (</t>
    </r>
    <r>
      <rPr>
        <sz val="10"/>
        <color rgb="FF000000"/>
        <rFont val="WenQuanYi Zen Hei"/>
        <family val="2"/>
      </rPr>
      <t xml:space="preserve">구축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설치 시점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</si>
  <si>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나머지는 </t>
    </r>
    <r>
      <rPr>
        <sz val="10"/>
        <color rgb="FF000000"/>
        <rFont val="Arial"/>
        <family val="0"/>
        <charset val="1"/>
      </rPr>
      <t xml:space="preserve">Robot-ready Only</t>
    </r>
  </si>
  <si>
    <t xml:space="preserve">rental_share</t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</si>
  <si>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선택 비중</t>
    </r>
  </si>
  <si>
    <t xml:space="preserve">partner_rental</t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</si>
  <si>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자산 보유 주체 </t>
    </r>
    <r>
      <rPr>
        <sz val="10"/>
        <color rgb="FF000000"/>
        <rFont val="Arial"/>
        <family val="0"/>
        <charset val="1"/>
      </rPr>
      <t xml:space="preserve">(0 = ARKI Pilot, 1 = Rental Partner)</t>
    </r>
  </si>
  <si>
    <t xml:space="preserve">flag</t>
  </si>
  <si>
    <t xml:space="preserve">projects</t>
  </si>
  <si>
    <r>
      <rPr>
        <sz val="10"/>
        <color rgb="FF000000"/>
        <rFont val="WenQuanYi Zen Hei"/>
        <family val="2"/>
      </rPr>
      <t xml:space="preserve">신축 </t>
    </r>
    <r>
      <rPr>
        <sz val="10"/>
        <color rgb="FF000000"/>
        <rFont val="Arial"/>
        <family val="0"/>
        <charset val="1"/>
      </rPr>
      <t xml:space="preserve">Robot-ready Option </t>
    </r>
    <r>
      <rPr>
        <sz val="10"/>
        <color rgb="FF000000"/>
        <rFont val="WenQuanYi Zen Hei"/>
        <family val="2"/>
      </rPr>
      <t xml:space="preserve">계약 </t>
    </r>
    <r>
      <rPr>
        <sz val="10"/>
        <color rgb="FF000000"/>
        <rFont val="Arial"/>
        <family val="0"/>
        <charset val="1"/>
      </rPr>
      <t xml:space="preserve">Project</t>
    </r>
  </si>
  <si>
    <t xml:space="preserve">개</t>
  </si>
  <si>
    <r>
      <rPr>
        <sz val="10"/>
        <color rgb="FF000000"/>
        <rFont val="WenQuanYi Zen Hei"/>
        <family val="2"/>
      </rPr>
      <t xml:space="preserve">계약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년 후 입주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설치</t>
    </r>
  </si>
  <si>
    <t xml:space="preserve">fte</t>
  </si>
  <si>
    <t xml:space="preserve">평균 인원</t>
  </si>
  <si>
    <t xml:space="preserve">명</t>
  </si>
  <si>
    <r>
      <rPr>
        <sz val="10"/>
        <color rgb="FF000000"/>
        <rFont val="Arial"/>
        <family val="0"/>
        <charset val="1"/>
      </rPr>
      <t xml:space="preserve">Y1~Y2 = TIPS </t>
    </r>
    <r>
      <rPr>
        <sz val="10"/>
        <color rgb="FF000000"/>
        <rFont val="WenQuanYi Zen Hei"/>
        <family val="2"/>
      </rPr>
      <t xml:space="preserve">기간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대표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신규 연구원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명 → </t>
    </r>
    <r>
      <rPr>
        <sz val="10"/>
        <color rgb="FF000000"/>
        <rFont val="Arial"/>
        <family val="0"/>
        <charset val="1"/>
      </rPr>
      <t xml:space="preserve">Y2 </t>
    </r>
    <r>
      <rPr>
        <sz val="10"/>
        <color rgb="FF000000"/>
        <rFont val="WenQuanYi Zen Hei"/>
        <family val="2"/>
      </rPr>
      <t xml:space="preserve">실증 엔지니어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사업개발 추가</t>
    </r>
    <r>
      <rPr>
        <sz val="10"/>
        <color rgb="FF000000"/>
        <rFont val="Arial"/>
        <family val="0"/>
        <charset val="1"/>
      </rPr>
      <t xml:space="preserve">, TIPS_TEAM). Y3</t>
    </r>
    <r>
      <rPr>
        <sz val="10"/>
        <color rgb="FF000000"/>
        <rFont val="WenQuanYi Zen Hei"/>
        <family val="2"/>
      </rPr>
      <t xml:space="preserve">부터 후속 투자 전제</t>
    </r>
  </si>
  <si>
    <t xml:space="preserve">proto</t>
  </si>
  <si>
    <t xml:space="preserve">Robot·Kitchen Prototype (H/W)</t>
  </si>
  <si>
    <r>
      <rPr>
        <sz val="10"/>
        <color rgb="FF000000"/>
        <rFont val="Arial"/>
        <family val="0"/>
        <charset val="1"/>
      </rPr>
      <t xml:space="preserve">Y1 </t>
    </r>
    <r>
      <rPr>
        <sz val="10"/>
        <color rgb="FF000000"/>
        <rFont val="WenQuanYi Zen Hei"/>
        <family val="2"/>
      </rPr>
      <t xml:space="preserve">시제품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차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식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실물 크기 목업 주방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식 </t>
    </r>
    <r>
      <rPr>
        <sz val="10"/>
        <color rgb="FF000000"/>
        <rFont val="Arial"/>
        <family val="0"/>
        <charset val="1"/>
      </rPr>
      <t xml:space="preserve">· Y2 2</t>
    </r>
    <r>
      <rPr>
        <sz val="10"/>
        <color rgb="FF000000"/>
        <rFont val="WenQuanYi Zen Hei"/>
        <family val="2"/>
      </rPr>
      <t xml:space="preserve">차 개선 부품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실증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세대 하드웨어는 원가에 반영</t>
    </r>
    <r>
      <rPr>
        <sz val="10"/>
        <color rgb="FF000000"/>
        <rFont val="Arial"/>
        <family val="0"/>
        <charset val="1"/>
      </rPr>
      <t xml:space="preserve">)</t>
    </r>
  </si>
  <si>
    <t xml:space="preserve">swdata</t>
  </si>
  <si>
    <t xml:space="preserve">Vision·Software·Data (GPU·Cloud·Annotation)</t>
  </si>
  <si>
    <t xml:space="preserve">space</t>
  </si>
  <si>
    <r>
      <rPr>
        <sz val="10"/>
        <color rgb="FF000000"/>
        <rFont val="Arial"/>
        <family val="0"/>
        <charset val="1"/>
      </rPr>
      <t xml:space="preserve">Full-scale Mock-up·</t>
    </r>
    <r>
      <rPr>
        <sz val="10"/>
        <color rgb="FF000000"/>
        <rFont val="WenQuanYi Zen Hei"/>
        <family val="2"/>
      </rPr>
      <t xml:space="preserve">공간</t>
    </r>
  </si>
  <si>
    <r>
      <rPr>
        <sz val="10"/>
        <color rgb="FF000000"/>
        <rFont val="Arial"/>
        <family val="0"/>
        <charset val="1"/>
      </rPr>
      <t xml:space="preserve">Y1~Y2: </t>
    </r>
    <r>
      <rPr>
        <sz val="10"/>
        <color rgb="FF000000"/>
        <rFont val="WenQuanYi Zen Hei"/>
        <family val="2"/>
      </rPr>
      <t xml:space="preserve">목업 공간 약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평 임차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목업 시공</t>
    </r>
  </si>
  <si>
    <t xml:space="preserve">cert_ip</t>
  </si>
  <si>
    <t xml:space="preserve">Safety·Certification·IP</t>
  </si>
  <si>
    <r>
      <rPr>
        <sz val="10"/>
        <color rgb="FF000000"/>
        <rFont val="Arial"/>
        <family val="0"/>
        <charset val="1"/>
      </rPr>
      <t xml:space="preserve">Y1 </t>
    </r>
    <r>
      <rPr>
        <sz val="10"/>
        <color rgb="FF000000"/>
        <rFont val="WenQuanYi Zen Hei"/>
        <family val="2"/>
      </rPr>
      <t xml:space="preserve">선행기술조사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특허 출원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건 </t>
    </r>
    <r>
      <rPr>
        <sz val="10"/>
        <color rgb="FF000000"/>
        <rFont val="Arial"/>
        <family val="0"/>
        <charset val="1"/>
      </rPr>
      <t xml:space="preserve">/ Y2 </t>
    </r>
    <r>
      <rPr>
        <sz val="10"/>
        <color rgb="FF000000"/>
        <rFont val="WenQuanYi Zen Hei"/>
        <family val="2"/>
      </rPr>
      <t xml:space="preserve">공인시험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안전 사전시험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특허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건 </t>
    </r>
    <r>
      <rPr>
        <sz val="10"/>
        <color rgb="FF000000"/>
        <rFont val="Arial"/>
        <family val="0"/>
        <charset val="1"/>
      </rPr>
      <t xml:space="preserve">/ Y3 </t>
    </r>
    <r>
      <rPr>
        <sz val="10"/>
        <color rgb="FF000000"/>
        <rFont val="WenQuanYi Zen Hei"/>
        <family val="2"/>
      </rPr>
      <t xml:space="preserve">본인증</t>
    </r>
  </si>
  <si>
    <t xml:space="preserve">research</t>
  </si>
  <si>
    <t xml:space="preserve">Pilot·Customer Validation</t>
  </si>
  <si>
    <r>
      <rPr>
        <sz val="10"/>
        <color rgb="FF000000"/>
        <rFont val="Arial"/>
        <family val="0"/>
        <charset val="1"/>
      </rPr>
      <t xml:space="preserve">Y1 </t>
    </r>
    <r>
      <rPr>
        <sz val="10"/>
        <color rgb="FF000000"/>
        <rFont val="WenQuanYi Zen Hei"/>
        <family val="2"/>
      </rPr>
      <t xml:space="preserve">인터뷰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정리 시간 기록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세대 </t>
    </r>
    <r>
      <rPr>
        <sz val="10"/>
        <color rgb="FF000000"/>
        <rFont val="Arial"/>
        <family val="0"/>
        <charset val="1"/>
      </rPr>
      <t xml:space="preserve">/ Y2 </t>
    </r>
    <r>
      <rPr>
        <sz val="10"/>
        <color rgb="FF000000"/>
        <rFont val="WenQuanYi Zen Hei"/>
        <family val="2"/>
      </rPr>
      <t xml:space="preserve">지불의사 조사 </t>
    </r>
    <r>
      <rPr>
        <sz val="10"/>
        <color rgb="FF000000"/>
        <rFont val="Arial"/>
        <family val="0"/>
        <charset val="1"/>
      </rPr>
      <t xml:space="preserve">n≥300 · </t>
    </r>
    <r>
      <rPr>
        <sz val="10"/>
        <color rgb="FF000000"/>
        <rFont val="WenQuanYi Zen Hei"/>
        <family val="2"/>
      </rPr>
      <t xml:space="preserve">실증 가정 지원</t>
    </r>
  </si>
  <si>
    <t xml:space="preserve">mkt</t>
  </si>
  <si>
    <t xml:space="preserve">Marketing·Partner Enablement</t>
  </si>
  <si>
    <t xml:space="preserve">ga</t>
  </si>
  <si>
    <r>
      <rPr>
        <sz val="10"/>
        <color rgb="FF000000"/>
        <rFont val="Arial"/>
        <family val="0"/>
        <charset val="1"/>
      </rPr>
      <t xml:space="preserve">G&amp;A (</t>
    </r>
    <r>
      <rPr>
        <sz val="10"/>
        <color rgb="FF000000"/>
        <rFont val="WenQuanYi Zen Hei"/>
        <family val="2"/>
      </rPr>
      <t xml:space="preserve">법무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회계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보험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사무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</si>
  <si>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4"/>
        <rFont val="Arial"/>
        <family val="0"/>
        <charset val="1"/>
      </rPr>
      <t xml:space="preserve">5-Year Bottom-up Model — Conservative (</t>
    </r>
    <r>
      <rPr>
        <b val="true"/>
        <sz val="14"/>
        <rFont val="WenQuanYi Zen Hei"/>
        <family val="2"/>
      </rPr>
      <t xml:space="preserve">만원</t>
    </r>
    <r>
      <rPr>
        <b val="true"/>
        <sz val="14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</si>
  <si>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모든 입력은 </t>
    </r>
    <r>
      <rPr>
        <sz val="10"/>
        <color rgb="FF000000"/>
        <rFont val="Arial"/>
        <family val="0"/>
        <charset val="1"/>
      </rPr>
      <t xml:space="preserve">Inputs / Inputs_Yearly</t>
    </r>
    <r>
      <rPr>
        <sz val="10"/>
        <color rgb="FF000000"/>
        <rFont val="WenQuanYi Zen Hei"/>
        <family val="2"/>
      </rPr>
      <t xml:space="preserve">의 </t>
    </r>
    <r>
      <rPr>
        <sz val="10"/>
        <color rgb="FF000000"/>
        <rFont val="Arial"/>
        <family val="0"/>
        <charset val="1"/>
      </rPr>
      <t xml:space="preserve">Conservative </t>
    </r>
    <r>
      <rPr>
        <sz val="10"/>
        <color rgb="FF000000"/>
        <rFont val="WenQuanYi Zen Hei"/>
        <family val="2"/>
      </rPr>
      <t xml:space="preserve">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행을 참조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녹색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영업이익은 이자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세금 제외 근사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</si>
  <si>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5Y </t>
    </r>
    <r>
      <rPr>
        <b val="true"/>
        <sz val="10"/>
        <color rgb="FFFFFFFF"/>
        <rFont val="WenQuanYi Zen Hei"/>
        <family val="2"/>
      </rPr>
      <t xml:space="preserve">합계</t>
    </r>
  </si>
  <si>
    <r>
      <rPr>
        <sz val="10"/>
        <color rgb="FF000000"/>
        <rFont val="WenQuanYi Zen Hei"/>
        <family val="2"/>
      </rPr>
      <t xml:space="preserve">신축 </t>
    </r>
    <r>
      <rPr>
        <sz val="10"/>
        <color rgb="FF000000"/>
        <rFont val="Arial"/>
        <family val="0"/>
        <charset val="1"/>
      </rPr>
      <t xml:space="preserve">Robot-ready </t>
    </r>
    <r>
      <rPr>
        <sz val="10"/>
        <color rgb="FF000000"/>
        <rFont val="WenQuanYi Zen Hei"/>
        <family val="2"/>
      </rPr>
      <t xml:space="preserve">설치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계약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년 후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</si>
  <si>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Kitchen </t>
    </r>
    <r>
      <rPr>
        <b val="true"/>
        <sz val="10"/>
        <rFont val="WenQuanYi Zen Hei"/>
        <family val="2"/>
      </rPr>
      <t xml:space="preserve">설치 합계</t>
    </r>
  </si>
  <si>
    <r>
      <rPr>
        <sz val="10"/>
        <color rgb="FF000000"/>
        <rFont val="Arial"/>
        <family val="0"/>
        <charset val="1"/>
      </rPr>
      <t xml:space="preserve">Robot Attach Rate (</t>
    </r>
    <r>
      <rPr>
        <sz val="10"/>
        <color rgb="FF000000"/>
        <rFont val="WenQuanYi Zen Hei"/>
        <family val="2"/>
      </rPr>
      <t xml:space="preserve">구축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</si>
  <si>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Robot-ready Only </t>
    </r>
    <r>
      <rPr>
        <sz val="10"/>
        <color rgb="FF000000"/>
        <rFont val="WenQuanYi Zen Hei"/>
        <family val="2"/>
      </rPr>
      <t xml:space="preserve">세대 후속 </t>
    </r>
    <r>
      <rPr>
        <sz val="10"/>
        <color rgb="FF000000"/>
        <rFont val="Arial"/>
        <family val="0"/>
        <charset val="1"/>
      </rPr>
      <t xml:space="preserve">Attach</t>
    </r>
  </si>
  <si>
    <r>
      <rPr>
        <sz val="10"/>
        <color rgb="FF000000"/>
        <rFont val="Arial"/>
        <family val="0"/>
        <charset val="1"/>
      </rPr>
      <t xml:space="preserve">Robot </t>
    </r>
    <r>
      <rPr>
        <sz val="10"/>
        <color rgb="FF000000"/>
        <rFont val="WenQuanYi Zen Hei"/>
        <family val="2"/>
      </rPr>
      <t xml:space="preserve">설치 — 구축</t>
    </r>
  </si>
  <si>
    <r>
      <rPr>
        <sz val="10"/>
        <color rgb="FF000000"/>
        <rFont val="Arial"/>
        <family val="0"/>
        <charset val="1"/>
      </rPr>
      <t xml:space="preserve">Robot </t>
    </r>
    <r>
      <rPr>
        <sz val="10"/>
        <color rgb="FF000000"/>
        <rFont val="WenQuanYi Zen Hei"/>
        <family val="2"/>
      </rPr>
      <t xml:space="preserve">설치 — 신축 입주</t>
    </r>
  </si>
  <si>
    <r>
      <rPr>
        <b val="true"/>
        <sz val="10"/>
        <rFont val="Arial"/>
        <family val="0"/>
        <charset val="1"/>
      </rPr>
      <t xml:space="preserve">Robot </t>
    </r>
    <r>
      <rPr>
        <b val="true"/>
        <sz val="10"/>
        <rFont val="WenQuanYi Zen Hei"/>
        <family val="2"/>
      </rPr>
      <t xml:space="preserve">설치 합계</t>
    </r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</si>
  <si>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비중</t>
    </r>
  </si>
  <si>
    <r>
      <rPr>
        <sz val="10"/>
        <color rgb="FF000000"/>
        <rFont val="Arial"/>
        <family val="0"/>
        <charset val="1"/>
      </rPr>
      <t xml:space="preserve">Rental Partner </t>
    </r>
    <r>
      <rPr>
        <sz val="10"/>
        <color rgb="FF000000"/>
        <rFont val="WenQuanYi Zen Hei"/>
        <family val="2"/>
      </rPr>
      <t xml:space="preserve">보유 </t>
    </r>
    <r>
      <rPr>
        <sz val="10"/>
        <color rgb="FF000000"/>
        <rFont val="Arial"/>
        <family val="0"/>
        <charset val="1"/>
      </rPr>
      <t xml:space="preserve">Flag</t>
    </r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</si>
  <si>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설치</t>
    </r>
  </si>
  <si>
    <t xml:space="preserve">구매 설치</t>
  </si>
  <si>
    <r>
      <rPr>
        <sz val="10"/>
        <color rgb="FF000000"/>
        <rFont val="Arial"/>
        <family val="0"/>
        <charset val="1"/>
      </rPr>
      <t xml:space="preserve">Rental — ARKI </t>
    </r>
    <r>
      <rPr>
        <sz val="10"/>
        <color rgb="FF000000"/>
        <rFont val="WenQuanYi Zen Hei"/>
        <family val="2"/>
      </rPr>
      <t xml:space="preserve">보유 </t>
    </r>
    <r>
      <rPr>
        <sz val="10"/>
        <color rgb="FF000000"/>
        <rFont val="Arial"/>
        <family val="0"/>
        <charset val="1"/>
      </rPr>
      <t xml:space="preserve">(Pilot)</t>
    </r>
  </si>
  <si>
    <r>
      <rPr>
        <sz val="10"/>
        <color rgb="FF000000"/>
        <rFont val="Arial"/>
        <family val="0"/>
        <charset val="1"/>
      </rPr>
      <t xml:space="preserve">Rental — Partner </t>
    </r>
    <r>
      <rPr>
        <sz val="10"/>
        <color rgb="FF000000"/>
        <rFont val="WenQuanYi Zen Hei"/>
        <family val="2"/>
      </rPr>
      <t xml:space="preserve">보유</t>
    </r>
  </si>
  <si>
    <r>
      <rPr>
        <sz val="10"/>
        <color rgb="FF000000"/>
        <rFont val="Arial"/>
        <family val="0"/>
        <charset val="1"/>
      </rPr>
      <t xml:space="preserve">Robot-ready Only </t>
    </r>
    <r>
      <rPr>
        <sz val="10"/>
        <color rgb="FF000000"/>
        <rFont val="WenQuanYi Zen Hei"/>
        <family val="2"/>
      </rPr>
      <t xml:space="preserve">누적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</si>
  <si>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구매 </t>
    </r>
    <r>
      <rPr>
        <sz val="10"/>
        <color rgb="FF000000"/>
        <rFont val="Arial"/>
        <family val="0"/>
        <charset val="1"/>
      </rPr>
      <t xml:space="preserve">Robot </t>
    </r>
    <r>
      <rPr>
        <sz val="10"/>
        <color rgb="FF000000"/>
        <rFont val="WenQuanYi Zen Hei"/>
        <family val="2"/>
      </rPr>
      <t xml:space="preserve">누적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</si>
  <si>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구매 </t>
    </r>
    <r>
      <rPr>
        <sz val="10"/>
        <color rgb="FF000000"/>
        <rFont val="Arial"/>
        <family val="0"/>
        <charset val="1"/>
      </rPr>
      <t xml:space="preserve">Robot </t>
    </r>
    <r>
      <rPr>
        <sz val="10"/>
        <color rgb="FF000000"/>
        <rFont val="WenQuanYi Zen Hei"/>
        <family val="2"/>
      </rPr>
      <t xml:space="preserve">평균 가동</t>
    </r>
  </si>
  <si>
    <r>
      <rPr>
        <sz val="10"/>
        <color rgb="FF000000"/>
        <rFont val="Arial"/>
        <family val="0"/>
        <charset val="1"/>
      </rPr>
      <t xml:space="preserve">ARKI Rental </t>
    </r>
    <r>
      <rPr>
        <sz val="10"/>
        <color rgb="FF000000"/>
        <rFont val="WenQuanYi Zen Hei"/>
        <family val="2"/>
      </rPr>
      <t xml:space="preserve">누적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</si>
  <si>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ARKI Rental </t>
    </r>
    <r>
      <rPr>
        <sz val="10"/>
        <color rgb="FF000000"/>
        <rFont val="WenQuanYi Zen Hei"/>
        <family val="2"/>
      </rPr>
      <t xml:space="preserve">평균 가동</t>
    </r>
  </si>
  <si>
    <r>
      <rPr>
        <sz val="10"/>
        <color rgb="FF000000"/>
        <rFont val="Arial"/>
        <family val="0"/>
        <charset val="1"/>
      </rPr>
      <t xml:space="preserve">Partner Rental </t>
    </r>
    <r>
      <rPr>
        <sz val="10"/>
        <color rgb="FF000000"/>
        <rFont val="WenQuanYi Zen Hei"/>
        <family val="2"/>
      </rPr>
      <t xml:space="preserve">누적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</si>
  <si>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Partner Rental </t>
    </r>
    <r>
      <rPr>
        <sz val="10"/>
        <color rgb="FF000000"/>
        <rFont val="WenQuanYi Zen Hei"/>
        <family val="2"/>
      </rPr>
      <t xml:space="preserve">평균 가동</t>
    </r>
  </si>
  <si>
    <r>
      <rPr>
        <sz val="10"/>
        <color rgb="FF000000"/>
        <rFont val="WenQuanYi Zen Hei"/>
        <family val="2"/>
      </rPr>
      <t xml:space="preserve">신축 계약 </t>
    </r>
    <r>
      <rPr>
        <sz val="10"/>
        <color rgb="FF000000"/>
        <rFont val="Arial"/>
        <family val="0"/>
        <charset val="1"/>
      </rPr>
      <t xml:space="preserve">Backlog (</t>
    </r>
    <r>
      <rPr>
        <sz val="10"/>
        <color rgb="FF000000"/>
        <rFont val="WenQuanYi Zen Hei"/>
        <family val="2"/>
      </rPr>
      <t xml:space="preserve">미설치 세대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</si>
  <si>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REVENUE (</t>
    </r>
    <r>
      <rPr>
        <b val="true"/>
        <sz val="10"/>
        <rFont val="WenQuanYi Zen Hei"/>
        <family val="2"/>
      </rPr>
      <t xml:space="preserve">만원</t>
    </r>
    <r>
      <rPr>
        <b val="true"/>
        <sz val="10"/>
        <rFont val="Arial"/>
        <family val="0"/>
        <charset val="1"/>
      </rPr>
      <t xml:space="preserve">)</t>
    </r>
  </si>
  <si>
    <t xml:space="preserve">가격 실현율</t>
  </si>
  <si>
    <r>
      <rPr>
        <sz val="10"/>
        <color rgb="FF000000"/>
        <rFont val="Arial"/>
        <family val="0"/>
        <charset val="1"/>
      </rPr>
      <t xml:space="preserve">Consumables </t>
    </r>
    <r>
      <rPr>
        <sz val="10"/>
        <color rgb="FF000000"/>
        <rFont val="WenQuanYi Zen Hei"/>
        <family val="2"/>
      </rPr>
      <t xml:space="preserve">연 </t>
    </r>
    <r>
      <rPr>
        <sz val="10"/>
        <color rgb="FF000000"/>
        <rFont val="Arial"/>
        <family val="0"/>
        <charset val="1"/>
      </rPr>
      <t xml:space="preserve">List (</t>
    </r>
    <r>
      <rPr>
        <sz val="10"/>
        <color rgb="FF000000"/>
        <rFont val="WenQuanYi Zen Hei"/>
        <family val="2"/>
      </rPr>
      <t xml:space="preserve">구매 고객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</si>
  <si>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Consumables </t>
    </r>
    <r>
      <rPr>
        <sz val="10"/>
        <color rgb="FF000000"/>
        <rFont val="WenQuanYi Zen Hei"/>
        <family val="2"/>
      </rPr>
      <t xml:space="preserve">연 </t>
    </r>
    <r>
      <rPr>
        <sz val="10"/>
        <color rgb="FF000000"/>
        <rFont val="Arial"/>
        <family val="0"/>
        <charset val="1"/>
      </rPr>
      <t xml:space="preserve">List (Rental, Grip </t>
    </r>
    <r>
      <rPr>
        <sz val="10"/>
        <color rgb="FF000000"/>
        <rFont val="WenQuanYi Zen Hei"/>
        <family val="2"/>
      </rPr>
      <t xml:space="preserve">제외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</si>
  <si>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Grip Kit </t>
    </r>
    <r>
      <rPr>
        <sz val="10"/>
        <color rgb="FF000000"/>
        <rFont val="WenQuanYi Zen Hei"/>
        <family val="2"/>
      </rPr>
      <t xml:space="preserve">연 </t>
    </r>
    <r>
      <rPr>
        <sz val="10"/>
        <color rgb="FF000000"/>
        <rFont val="Arial"/>
        <family val="0"/>
        <charset val="1"/>
      </rPr>
      <t xml:space="preserve">List</t>
    </r>
  </si>
  <si>
    <t xml:space="preserve">A. Kitchen Build (Robot-ready)</t>
  </si>
  <si>
    <r>
      <rPr>
        <sz val="10"/>
        <color rgb="FF000000"/>
        <rFont val="Arial"/>
        <family val="0"/>
        <charset val="1"/>
      </rPr>
      <t xml:space="preserve">A. </t>
    </r>
    <r>
      <rPr>
        <sz val="10"/>
        <color rgb="FF000000"/>
        <rFont val="WenQuanYi Zen Hei"/>
        <family val="2"/>
      </rPr>
      <t xml:space="preserve">설치</t>
    </r>
    <r>
      <rPr>
        <sz val="10"/>
        <color rgb="FF000000"/>
        <rFont val="Arial"/>
        <family val="0"/>
        <charset val="1"/>
      </rPr>
      <t xml:space="preserve">·Calibration</t>
    </r>
  </si>
  <si>
    <r>
      <rPr>
        <sz val="10"/>
        <color rgb="FF000000"/>
        <rFont val="Arial"/>
        <family val="0"/>
        <charset val="1"/>
      </rPr>
      <t xml:space="preserve">A. Robot Hardware (</t>
    </r>
    <r>
      <rPr>
        <sz val="10"/>
        <color rgb="FF000000"/>
        <rFont val="WenQuanYi Zen Hei"/>
        <family val="2"/>
      </rPr>
      <t xml:space="preserve">구매 </t>
    </r>
    <r>
      <rPr>
        <sz val="10"/>
        <color rgb="FF000000"/>
        <rFont val="Arial"/>
        <family val="0"/>
        <charset val="1"/>
      </rPr>
      <t xml:space="preserve">+ Rental Partner </t>
    </r>
    <r>
      <rPr>
        <sz val="10"/>
        <color rgb="FF000000"/>
        <rFont val="WenQuanYi Zen Hei"/>
        <family val="2"/>
      </rPr>
      <t xml:space="preserve">공급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</si>
  <si>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B. Rental (ARKI </t>
    </r>
    <r>
      <rPr>
        <sz val="10"/>
        <color rgb="FF000000"/>
        <rFont val="WenQuanYi Zen Hei"/>
        <family val="2"/>
      </rPr>
      <t xml:space="preserve">보유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</si>
  <si>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B. Care (</t>
    </r>
    <r>
      <rPr>
        <sz val="10"/>
        <color rgb="FF000000"/>
        <rFont val="WenQuanYi Zen Hei"/>
        <family val="2"/>
      </rPr>
      <t xml:space="preserve">구매 고객 </t>
    </r>
    <r>
      <rPr>
        <sz val="10"/>
        <color rgb="FF000000"/>
        <rFont val="Arial"/>
        <family val="0"/>
        <charset val="1"/>
      </rPr>
      <t xml:space="preserve">+ Partner </t>
    </r>
    <r>
      <rPr>
        <sz val="10"/>
        <color rgb="FF000000"/>
        <rFont val="WenQuanYi Zen Hei"/>
        <family val="2"/>
      </rPr>
      <t xml:space="preserve">서비스료</t>
    </r>
    <r>
      <rPr>
        <sz val="10"/>
        <color rgb="FF000000"/>
        <rFont val="Arial"/>
        <family val="0"/>
        <charset val="1"/>
      </rPr>
      <t xml:space="preserve">)</t>
    </r>
  </si>
  <si>
    <t xml:space="preserve">B. Consumables</t>
  </si>
  <si>
    <t xml:space="preserve">C. Upgrade (Software Skill + Tool)</t>
  </si>
  <si>
    <t xml:space="preserve">매출 합계</t>
  </si>
  <si>
    <r>
      <rPr>
        <b val="true"/>
        <sz val="10"/>
        <rFont val="Arial"/>
        <family val="0"/>
        <charset val="1"/>
      </rPr>
      <t xml:space="preserve">COGS (</t>
    </r>
    <r>
      <rPr>
        <b val="true"/>
        <sz val="10"/>
        <rFont val="WenQuanYi Zen Hei"/>
        <family val="2"/>
      </rPr>
      <t xml:space="preserve">만원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</si>
  <si>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Kitchen Module </t>
    </r>
    <r>
      <rPr>
        <sz val="10"/>
        <color rgb="FF000000"/>
        <rFont val="WenQuanYi Zen Hei"/>
        <family val="2"/>
      </rPr>
      <t xml:space="preserve">원가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세대</t>
    </r>
  </si>
  <si>
    <r>
      <rPr>
        <sz val="10"/>
        <color rgb="FF000000"/>
        <rFont val="Arial"/>
        <family val="0"/>
        <charset val="1"/>
      </rPr>
      <t xml:space="preserve">Robot BOM/</t>
    </r>
    <r>
      <rPr>
        <sz val="10"/>
        <color rgb="FF000000"/>
        <rFont val="WenQuanYi Zen Hei"/>
        <family val="2"/>
      </rPr>
      <t xml:space="preserve">대</t>
    </r>
  </si>
  <si>
    <r>
      <rPr>
        <sz val="10"/>
        <color rgb="FF000000"/>
        <rFont val="Arial"/>
        <family val="0"/>
        <charset val="1"/>
      </rPr>
      <t xml:space="preserve">Care </t>
    </r>
    <r>
      <rPr>
        <sz val="10"/>
        <color rgb="FF000000"/>
        <rFont val="WenQuanYi Zen Hei"/>
        <family val="2"/>
      </rPr>
      <t xml:space="preserve">원가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년</t>
    </r>
  </si>
  <si>
    <r>
      <rPr>
        <sz val="10"/>
        <color rgb="FF000000"/>
        <rFont val="Arial"/>
        <family val="0"/>
        <charset val="1"/>
      </rPr>
      <t xml:space="preserve">Kitchen Module </t>
    </r>
    <r>
      <rPr>
        <sz val="10"/>
        <color rgb="FF000000"/>
        <rFont val="WenQuanYi Zen Hei"/>
        <family val="2"/>
      </rPr>
      <t xml:space="preserve">원가</t>
    </r>
  </si>
  <si>
    <t xml:space="preserve">물류</t>
  </si>
  <si>
    <r>
      <rPr>
        <sz val="10"/>
        <color rgb="FF000000"/>
        <rFont val="Arial"/>
        <family val="0"/>
        <charset val="1"/>
      </rPr>
      <t xml:space="preserve">Robot BOM (</t>
    </r>
    <r>
      <rPr>
        <sz val="10"/>
        <color rgb="FF000000"/>
        <rFont val="WenQuanYi Zen Hei"/>
        <family val="2"/>
      </rPr>
      <t xml:space="preserve">판매분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</si>
  <si>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설치</t>
    </r>
    <r>
      <rPr>
        <sz val="10"/>
        <color rgb="FF000000"/>
        <rFont val="Arial"/>
        <family val="0"/>
        <charset val="1"/>
      </rPr>
      <t xml:space="preserve">·Calibration </t>
    </r>
    <r>
      <rPr>
        <sz val="10"/>
        <color rgb="FF000000"/>
        <rFont val="WenQuanYi Zen Hei"/>
        <family val="2"/>
      </rPr>
      <t xml:space="preserve">원가</t>
    </r>
  </si>
  <si>
    <t xml:space="preserve">Warranty Reserve</t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</si>
  <si>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자산 취득 </t>
    </r>
    <r>
      <rPr>
        <sz val="10"/>
        <color rgb="FF000000"/>
        <rFont val="Arial"/>
        <family val="0"/>
        <charset val="1"/>
      </rPr>
      <t xml:space="preserve">(ARKI </t>
    </r>
    <r>
      <rPr>
        <sz val="10"/>
        <color rgb="FF000000"/>
        <rFont val="WenQuanYi Zen Hei"/>
        <family val="2"/>
      </rPr>
      <t xml:space="preserve">보유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</si>
  <si>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자산 누적 취득</t>
    </r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</si>
  <si>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자산 감가상각</t>
    </r>
  </si>
  <si>
    <r>
      <rPr>
        <sz val="10"/>
        <color rgb="FF000000"/>
        <rFont val="Arial"/>
        <family val="0"/>
        <charset val="1"/>
      </rPr>
      <t xml:space="preserve">Care Service </t>
    </r>
    <r>
      <rPr>
        <sz val="10"/>
        <color rgb="FF000000"/>
        <rFont val="WenQuanYi Zen Hei"/>
        <family val="2"/>
      </rPr>
      <t xml:space="preserve">원가</t>
    </r>
  </si>
  <si>
    <r>
      <rPr>
        <sz val="10"/>
        <color rgb="FF000000"/>
        <rFont val="Arial"/>
        <family val="0"/>
        <charset val="1"/>
      </rPr>
      <t xml:space="preserve">Consumables </t>
    </r>
    <r>
      <rPr>
        <sz val="10"/>
        <color rgb="FF000000"/>
        <rFont val="WenQuanYi Zen Hei"/>
        <family val="2"/>
      </rPr>
      <t xml:space="preserve">원가 </t>
    </r>
    <r>
      <rPr>
        <sz val="10"/>
        <color rgb="FF000000"/>
        <rFont val="Arial"/>
        <family val="0"/>
        <charset val="1"/>
      </rPr>
      <t xml:space="preserve">(Rental Grip </t>
    </r>
    <r>
      <rPr>
        <sz val="10"/>
        <color rgb="FF000000"/>
        <rFont val="WenQuanYi Zen Hei"/>
        <family val="2"/>
      </rPr>
      <t xml:space="preserve">포함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</si>
  <si>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Upgrade </t>
    </r>
    <r>
      <rPr>
        <sz val="10"/>
        <color rgb="FF000000"/>
        <rFont val="WenQuanYi Zen Hei"/>
        <family val="2"/>
      </rPr>
      <t xml:space="preserve">원가</t>
    </r>
  </si>
  <si>
    <r>
      <rPr>
        <sz val="10"/>
        <color rgb="FF000000"/>
        <rFont val="Arial"/>
        <family val="0"/>
        <charset val="1"/>
      </rPr>
      <t xml:space="preserve">COGS </t>
    </r>
    <r>
      <rPr>
        <sz val="10"/>
        <color rgb="FF000000"/>
        <rFont val="WenQuanYi Zen Hei"/>
        <family val="2"/>
      </rPr>
      <t xml:space="preserve">합계</t>
    </r>
  </si>
  <si>
    <r>
      <rPr>
        <b val="true"/>
        <sz val="10"/>
        <rFont val="Arial"/>
        <family val="0"/>
        <charset val="1"/>
      </rPr>
      <t xml:space="preserve">CHANNEL · OPEX (</t>
    </r>
    <r>
      <rPr>
        <b val="true"/>
        <sz val="10"/>
        <rFont val="WenQuanYi Zen Hei"/>
        <family val="2"/>
      </rPr>
      <t xml:space="preserve">만원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</si>
  <si>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Partner </t>
    </r>
    <r>
      <rPr>
        <sz val="10"/>
        <color rgb="FF000000"/>
        <rFont val="WenQuanYi Zen Hei"/>
        <family val="2"/>
      </rPr>
      <t xml:space="preserve">수수료</t>
    </r>
  </si>
  <si>
    <t xml:space="preserve">직접판매 획득비용</t>
  </si>
  <si>
    <r>
      <rPr>
        <sz val="10"/>
        <color rgb="FF000000"/>
        <rFont val="WenQuanYi Zen Hei"/>
        <family val="2"/>
      </rPr>
      <t xml:space="preserve">신축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수주비용</t>
    </r>
  </si>
  <si>
    <r>
      <rPr>
        <b val="true"/>
        <sz val="10"/>
        <rFont val="Arial"/>
        <family val="0"/>
        <charset val="1"/>
      </rPr>
      <t xml:space="preserve">Contribution (</t>
    </r>
    <r>
      <rPr>
        <b val="true"/>
        <sz val="10"/>
        <rFont val="WenQuanYi Zen Hei"/>
        <family val="2"/>
      </rPr>
      <t xml:space="preserve">매출총이익 − 채널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변동 판매비</t>
    </r>
    <r>
      <rPr>
        <b val="true"/>
        <sz val="10"/>
        <rFont val="Arial"/>
        <family val="0"/>
        <charset val="1"/>
      </rPr>
      <t xml:space="preserve">)</t>
    </r>
  </si>
  <si>
    <t xml:space="preserve">인건비</t>
  </si>
  <si>
    <r>
      <rPr>
        <sz val="10"/>
        <color rgb="FF000000"/>
        <rFont val="WenQuanYi Zen Hei"/>
        <family val="2"/>
      </rPr>
      <t xml:space="preserve">기타 운영비 </t>
    </r>
    <r>
      <rPr>
        <sz val="10"/>
        <color rgb="FF000000"/>
        <rFont val="Arial"/>
        <family val="0"/>
        <charset val="1"/>
      </rPr>
      <t xml:space="preserve">(Prototype·SW·</t>
    </r>
    <r>
      <rPr>
        <sz val="10"/>
        <color rgb="FF000000"/>
        <rFont val="WenQuanYi Zen Hei"/>
        <family val="2"/>
      </rPr>
      <t xml:space="preserve">공간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인증</t>
    </r>
    <r>
      <rPr>
        <sz val="10"/>
        <color rgb="FF000000"/>
        <rFont val="Arial"/>
        <family val="0"/>
        <charset val="1"/>
      </rPr>
      <t xml:space="preserve">/IP·</t>
    </r>
    <r>
      <rPr>
        <sz val="10"/>
        <color rgb="FF000000"/>
        <rFont val="WenQuanYi Zen Hei"/>
        <family val="2"/>
      </rPr>
      <t xml:space="preserve">검증</t>
    </r>
    <r>
      <rPr>
        <sz val="10"/>
        <color rgb="FF000000"/>
        <rFont val="Arial"/>
        <family val="0"/>
        <charset val="1"/>
      </rPr>
      <t xml:space="preserve">·Marketing·G&amp;A)</t>
    </r>
  </si>
  <si>
    <r>
      <rPr>
        <sz val="10"/>
        <color rgb="FF000000"/>
        <rFont val="Arial"/>
        <family val="0"/>
        <charset val="1"/>
      </rPr>
      <t xml:space="preserve">Opex </t>
    </r>
    <r>
      <rPr>
        <sz val="10"/>
        <color rgb="FF000000"/>
        <rFont val="WenQuanYi Zen Hei"/>
        <family val="2"/>
      </rPr>
      <t xml:space="preserve">합계</t>
    </r>
  </si>
  <si>
    <r>
      <rPr>
        <b val="true"/>
        <sz val="10"/>
        <rFont val="WenQuanYi Zen Hei"/>
        <family val="2"/>
      </rPr>
      <t xml:space="preserve">영업이익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근사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</si>
  <si>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현금흐름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영업이익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감가 − </t>
    </r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자산</t>
    </r>
    <r>
      <rPr>
        <sz val="10"/>
        <color rgb="FF000000"/>
        <rFont val="Arial"/>
        <family val="0"/>
        <charset val="1"/>
      </rPr>
      <t xml:space="preserve">)</t>
    </r>
  </si>
  <si>
    <t xml:space="preserve">MIX</t>
  </si>
  <si>
    <r>
      <rPr>
        <sz val="10"/>
        <color rgb="FF000000"/>
        <rFont val="Arial"/>
        <family val="0"/>
        <charset val="1"/>
      </rPr>
      <t xml:space="preserve">Build </t>
    </r>
    <r>
      <rPr>
        <sz val="10"/>
        <color rgb="FF000000"/>
        <rFont val="WenQuanYi Zen Hei"/>
        <family val="2"/>
      </rPr>
      <t xml:space="preserve">매출 </t>
    </r>
    <r>
      <rPr>
        <sz val="10"/>
        <color rgb="FF000000"/>
        <rFont val="Arial"/>
        <family val="0"/>
        <charset val="1"/>
      </rPr>
      <t xml:space="preserve">(Kitchen + </t>
    </r>
    <r>
      <rPr>
        <sz val="10"/>
        <color rgb="FF000000"/>
        <rFont val="WenQuanYi Zen Hei"/>
        <family val="2"/>
      </rPr>
      <t xml:space="preserve">설치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</si>
  <si>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Recurring </t>
    </r>
    <r>
      <rPr>
        <sz val="10"/>
        <color rgb="FF000000"/>
        <rFont val="WenQuanYi Zen Hei"/>
        <family val="2"/>
      </rPr>
      <t xml:space="preserve">매출 </t>
    </r>
    <r>
      <rPr>
        <sz val="10"/>
        <color rgb="FF000000"/>
        <rFont val="Arial"/>
        <family val="0"/>
        <charset val="1"/>
      </rPr>
      <t xml:space="preserve">(Rental + Care + Consumables)</t>
    </r>
  </si>
  <si>
    <r>
      <rPr>
        <b val="true"/>
        <sz val="14"/>
        <rFont val="Arial"/>
        <family val="0"/>
        <charset val="1"/>
      </rPr>
      <t xml:space="preserve">5-Year Bottom-up Model — Base (</t>
    </r>
    <r>
      <rPr>
        <b val="true"/>
        <sz val="14"/>
        <rFont val="WenQuanYi Zen Hei"/>
        <family val="2"/>
      </rPr>
      <t xml:space="preserve">만원</t>
    </r>
    <r>
      <rPr>
        <b val="true"/>
        <sz val="14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</si>
  <si>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모든 입력은 </t>
    </r>
    <r>
      <rPr>
        <sz val="10"/>
        <color rgb="FF000000"/>
        <rFont val="Arial"/>
        <family val="0"/>
        <charset val="1"/>
      </rPr>
      <t xml:space="preserve">Inputs / Inputs_Yearly</t>
    </r>
    <r>
      <rPr>
        <sz val="10"/>
        <color rgb="FF000000"/>
        <rFont val="WenQuanYi Zen Hei"/>
        <family val="2"/>
      </rPr>
      <t xml:space="preserve">의 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WenQuanYi Zen Hei"/>
        <family val="2"/>
      </rPr>
      <t xml:space="preserve">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행을 참조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녹색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영업이익은 이자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세금 제외 근사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</si>
  <si>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5-Year Bottom-up Model — Upside (</t>
    </r>
    <r>
      <rPr>
        <b val="true"/>
        <sz val="14"/>
        <rFont val="WenQuanYi Zen Hei"/>
        <family val="2"/>
      </rPr>
      <t xml:space="preserve">만원</t>
    </r>
    <r>
      <rPr>
        <b val="true"/>
        <sz val="14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</si>
  <si>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모든 입력은 </t>
    </r>
    <r>
      <rPr>
        <sz val="10"/>
        <color rgb="FF000000"/>
        <rFont val="Arial"/>
        <family val="0"/>
        <charset val="1"/>
      </rPr>
      <t xml:space="preserve">Inputs / Inputs_Yearly</t>
    </r>
    <r>
      <rPr>
        <sz val="10"/>
        <color rgb="FF000000"/>
        <rFont val="WenQuanYi Zen Hei"/>
        <family val="2"/>
      </rPr>
      <t xml:space="preserve">의 </t>
    </r>
    <r>
      <rPr>
        <sz val="10"/>
        <color rgb="FF000000"/>
        <rFont val="Arial"/>
        <family val="0"/>
        <charset val="1"/>
      </rPr>
      <t xml:space="preserve">Upside </t>
    </r>
    <r>
      <rPr>
        <sz val="10"/>
        <color rgb="FF000000"/>
        <rFont val="WenQuanYi Zen Hei"/>
        <family val="2"/>
      </rPr>
      <t xml:space="preserve">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행을 참조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녹색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영업이익은 이자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세금 제외 근사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</si>
  <si>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Household Economics — </t>
    </r>
    <r>
      <rPr>
        <b val="true"/>
        <sz val="14"/>
        <rFont val="WenQuanYi Zen Hei"/>
        <family val="2"/>
      </rPr>
      <t xml:space="preserve">구축 </t>
    </r>
    <r>
      <rPr>
        <b val="true"/>
        <sz val="14"/>
        <rFont val="Arial"/>
        <family val="0"/>
        <charset val="1"/>
      </rPr>
      <t xml:space="preserve">Premium 1</t>
    </r>
    <r>
      <rPr>
        <b val="true"/>
        <sz val="14"/>
        <rFont val="WenQuanYi Zen Hei"/>
        <family val="2"/>
      </rPr>
      <t xml:space="preserve">세대</t>
    </r>
    <r>
      <rPr>
        <b val="true"/>
        <sz val="14"/>
        <rFont val="Arial"/>
        <family val="0"/>
        <charset val="1"/>
      </rPr>
      <t xml:space="preserve">, 5</t>
    </r>
    <r>
      <rPr>
        <b val="true"/>
        <sz val="14"/>
        <rFont val="WenQuanYi Zen Hei"/>
        <family val="2"/>
      </rPr>
      <t xml:space="preserve">년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직접판매</t>
    </r>
    <r>
      <rPr>
        <b val="true"/>
        <sz val="14"/>
        <rFont val="Arial"/>
        <family val="0"/>
        <charset val="1"/>
      </rPr>
      <t xml:space="preserve">, Base (</t>
    </r>
    <r>
      <rPr>
        <b val="true"/>
        <sz val="14"/>
        <rFont val="WenQuanYi Zen Hei"/>
        <family val="2"/>
      </rPr>
      <t xml:space="preserve">만원</t>
    </r>
    <r>
      <rPr>
        <b val="true"/>
        <sz val="14"/>
        <rFont val="Arial"/>
        <family val="0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</si>
  <si>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기대값 기준 </t>
    </r>
    <r>
      <rPr>
        <sz val="11"/>
        <color theme="1"/>
        <rFont val="Calibri"/>
        <family val="2"/>
        <charset val="1"/>
      </rPr>
      <t xml:space="preserve">(Software·Tool</t>
    </r>
    <r>
      <rPr>
        <sz val="11"/>
        <color theme="1"/>
        <rFont val="WenQuanYi Zen Hei"/>
        <family val="2"/>
      </rPr>
      <t xml:space="preserve">은 구매율 반영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WenQuanYi Zen Hei"/>
        <family val="2"/>
      </rPr>
      <t xml:space="preserve">구매 모델은 </t>
    </r>
    <r>
      <rPr>
        <sz val="11"/>
        <color theme="1"/>
        <rFont val="Calibri"/>
        <family val="2"/>
        <charset val="1"/>
      </rPr>
      <t xml:space="preserve">Care </t>
    </r>
    <r>
      <rPr>
        <sz val="11"/>
        <color theme="1"/>
        <rFont val="WenQuanYi Zen Hei"/>
        <family val="2"/>
      </rPr>
      <t xml:space="preserve">가입 세대 기준</t>
    </r>
    <r>
      <rPr>
        <sz val="11"/>
        <color theme="1"/>
        <rFont val="Calibri"/>
        <family val="2"/>
        <charset val="1"/>
      </rPr>
      <t xml:space="preserve">. Y3 / Y5 = </t>
    </r>
    <r>
      <rPr>
        <sz val="11"/>
        <color theme="1"/>
        <rFont val="WenQuanYi Zen Hei"/>
        <family val="2"/>
      </rPr>
      <t xml:space="preserve">해당 연도의 원가 수준을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년간 적용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</si>
  <si>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구매 </t>
    </r>
    <r>
      <rPr>
        <b val="true"/>
        <sz val="10"/>
        <color rgb="FFFFFFFF"/>
        <rFont val="Arial"/>
        <family val="0"/>
        <charset val="1"/>
      </rPr>
      <t xml:space="preserve">· Y3 </t>
    </r>
    <r>
      <rPr>
        <b val="true"/>
        <sz val="10"/>
        <color rgb="FFFFFFFF"/>
        <rFont val="WenQuanYi Zen Hei"/>
        <family val="2"/>
      </rPr>
      <t xml:space="preserve">원가</t>
    </r>
  </si>
  <si>
    <r>
      <rPr>
        <b val="true"/>
        <sz val="10"/>
        <color rgb="FFFFFFFF"/>
        <rFont val="WenQuanYi Zen Hei"/>
        <family val="2"/>
      </rPr>
      <t xml:space="preserve">구매 </t>
    </r>
    <r>
      <rPr>
        <b val="true"/>
        <sz val="10"/>
        <color rgb="FFFFFFFF"/>
        <rFont val="Arial"/>
        <family val="0"/>
        <charset val="1"/>
      </rPr>
      <t xml:space="preserve">· Y5 </t>
    </r>
    <r>
      <rPr>
        <b val="true"/>
        <sz val="10"/>
        <color rgb="FFFFFFFF"/>
        <rFont val="WenQuanYi Zen Hei"/>
        <family val="2"/>
      </rPr>
      <t xml:space="preserve">원가</t>
    </r>
  </si>
  <si>
    <r>
      <rPr>
        <b val="true"/>
        <sz val="10"/>
        <color rgb="FFFFFFFF"/>
        <rFont val="Arial"/>
        <family val="0"/>
        <charset val="1"/>
      </rPr>
      <t xml:space="preserve">Rental · Y3 </t>
    </r>
    <r>
      <rPr>
        <b val="true"/>
        <sz val="10"/>
        <color rgb="FFFFFFFF"/>
        <rFont val="WenQuanYi Zen Hei"/>
        <family val="2"/>
      </rPr>
      <t xml:space="preserve">원가</t>
    </r>
  </si>
  <si>
    <r>
      <rPr>
        <b val="true"/>
        <sz val="10"/>
        <color rgb="FFFFFFFF"/>
        <rFont val="Arial"/>
        <family val="0"/>
        <charset val="1"/>
      </rPr>
      <t xml:space="preserve">Rental · Y5 </t>
    </r>
    <r>
      <rPr>
        <b val="true"/>
        <sz val="10"/>
        <color rgb="FFFFFFFF"/>
        <rFont val="WenQuanYi Zen Hei"/>
        <family val="2"/>
      </rPr>
      <t xml:space="preserve">원가</t>
    </r>
  </si>
  <si>
    <t xml:space="preserve">산식</t>
  </si>
  <si>
    <t xml:space="preserve">REVENUE</t>
  </si>
  <si>
    <r>
      <rPr>
        <sz val="10"/>
        <color rgb="FF000000"/>
        <rFont val="Arial"/>
        <family val="0"/>
        <charset val="1"/>
      </rPr>
      <t xml:space="preserve">Robot-ready Kitchen </t>
    </r>
    <r>
      <rPr>
        <sz val="10"/>
        <color rgb="FF000000"/>
        <rFont val="WenQuanYi Zen Hei"/>
        <family val="2"/>
      </rPr>
      <t xml:space="preserve">증분</t>
    </r>
  </si>
  <si>
    <t xml:space="preserve">Year 0</t>
  </si>
  <si>
    <r>
      <rPr>
        <sz val="10"/>
        <color rgb="FF000000"/>
        <rFont val="WenQuanYi Zen Hei"/>
        <family val="2"/>
      </rPr>
      <t xml:space="preserve">설치</t>
    </r>
    <r>
      <rPr>
        <sz val="10"/>
        <color rgb="FF000000"/>
        <rFont val="Arial"/>
        <family val="0"/>
        <charset val="1"/>
      </rPr>
      <t xml:space="preserve">·Calibration</t>
    </r>
  </si>
  <si>
    <r>
      <rPr>
        <sz val="10"/>
        <color rgb="FF000000"/>
        <rFont val="Arial"/>
        <family val="0"/>
        <charset val="1"/>
      </rPr>
      <t xml:space="preserve">Robot Module (</t>
    </r>
    <r>
      <rPr>
        <sz val="10"/>
        <color rgb="FF000000"/>
        <rFont val="WenQuanYi Zen Hei"/>
        <family val="2"/>
      </rPr>
      <t xml:space="preserve">구매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</si>
  <si>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Rental (60</t>
    </r>
    <r>
      <rPr>
        <sz val="10"/>
        <color rgb="FF000000"/>
        <rFont val="WenQuanYi Zen Hei"/>
        <family val="2"/>
      </rPr>
      <t xml:space="preserve">개월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</si>
  <si>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월 요금 </t>
    </r>
    <r>
      <rPr>
        <sz val="10"/>
        <color rgb="FF000000"/>
        <rFont val="Arial"/>
        <family val="0"/>
        <charset val="1"/>
      </rPr>
      <t xml:space="preserve">× 60</t>
    </r>
  </si>
  <si>
    <r>
      <rPr>
        <sz val="10"/>
        <color rgb="FF000000"/>
        <rFont val="Arial"/>
        <family val="0"/>
        <charset val="1"/>
      </rPr>
      <t xml:space="preserve">Care Basic (5</t>
    </r>
    <r>
      <rPr>
        <sz val="10"/>
        <color rgb="FF000000"/>
        <rFont val="WenQuanYi Zen Hei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</si>
  <si>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Rental</t>
    </r>
    <r>
      <rPr>
        <sz val="10"/>
        <color rgb="FF000000"/>
        <rFont val="WenQuanYi Zen Hei"/>
        <family val="2"/>
      </rPr>
      <t xml:space="preserve">은 요금에 포함</t>
    </r>
  </si>
  <si>
    <r>
      <rPr>
        <sz val="10"/>
        <color rgb="FF000000"/>
        <rFont val="Arial"/>
        <family val="0"/>
        <charset val="1"/>
      </rPr>
      <t xml:space="preserve">Consumables (5</t>
    </r>
    <r>
      <rPr>
        <sz val="10"/>
        <color rgb="FF000000"/>
        <rFont val="WenQuanYi Zen Hei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구매율 반영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</si>
  <si>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Rental</t>
    </r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Arial"/>
        <family val="0"/>
        <charset val="1"/>
      </rPr>
      <t xml:space="preserve">Grip Kit </t>
    </r>
    <r>
      <rPr>
        <sz val="10"/>
        <color rgb="FF000000"/>
        <rFont val="WenQuanYi Zen Hei"/>
        <family val="2"/>
      </rPr>
      <t xml:space="preserve">포함</t>
    </r>
  </si>
  <si>
    <r>
      <rPr>
        <sz val="10"/>
        <color rgb="FF000000"/>
        <rFont val="Arial"/>
        <family val="0"/>
        <charset val="1"/>
      </rPr>
      <t xml:space="preserve">Software Skill (</t>
    </r>
    <r>
      <rPr>
        <sz val="10"/>
        <color rgb="FF000000"/>
        <rFont val="WenQuanYi Zen Hei"/>
        <family val="2"/>
      </rPr>
      <t xml:space="preserve">기대값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</si>
  <si>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Tool / End-effector (</t>
    </r>
    <r>
      <rPr>
        <sz val="10"/>
        <color rgb="FF000000"/>
        <rFont val="WenQuanYi Zen Hei"/>
        <family val="2"/>
      </rPr>
      <t xml:space="preserve">기대값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</si>
  <si>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년 매출</t>
    </r>
  </si>
  <si>
    <r>
      <rPr>
        <sz val="10"/>
        <color rgb="FF000000"/>
        <rFont val="Arial"/>
        <family val="0"/>
        <charset val="1"/>
      </rPr>
      <t xml:space="preserve">Standard Module </t>
    </r>
    <r>
      <rPr>
        <sz val="10"/>
        <color rgb="FF000000"/>
        <rFont val="WenQuanYi Zen Hei"/>
        <family val="2"/>
      </rPr>
      <t xml:space="preserve">사용률 연동</t>
    </r>
  </si>
  <si>
    <r>
      <rPr>
        <sz val="10"/>
        <color rgb="FF000000"/>
        <rFont val="Arial"/>
        <family val="0"/>
        <charset val="1"/>
      </rPr>
      <t xml:space="preserve">Robot BOM (Rental</t>
    </r>
    <r>
      <rPr>
        <sz val="10"/>
        <color rgb="FF000000"/>
        <rFont val="WenQuanYi Zen Hei"/>
        <family val="2"/>
      </rPr>
      <t xml:space="preserve">은 잔존가치 차감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</si>
  <si>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금융비용 </t>
    </r>
    <r>
      <rPr>
        <sz val="10"/>
        <color rgb="FF000000"/>
        <rFont val="Arial"/>
        <family val="0"/>
        <charset val="1"/>
      </rPr>
      <t xml:space="preserve">(5</t>
    </r>
    <r>
      <rPr>
        <sz val="10"/>
        <color rgb="FF000000"/>
        <rFont val="WenQuanYi Zen Hei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</si>
  <si>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평균잔액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금리</t>
    </r>
  </si>
  <si>
    <r>
      <rPr>
        <sz val="10"/>
        <color rgb="FF000000"/>
        <rFont val="Arial"/>
        <family val="0"/>
        <charset val="1"/>
      </rPr>
      <t xml:space="preserve">Care Service </t>
    </r>
    <r>
      <rPr>
        <sz val="10"/>
        <color rgb="FF000000"/>
        <rFont val="WenQuanYi Zen Hei"/>
        <family val="2"/>
      </rPr>
      <t xml:space="preserve">원가 </t>
    </r>
    <r>
      <rPr>
        <sz val="10"/>
        <color rgb="FF000000"/>
        <rFont val="Arial"/>
        <family val="0"/>
        <charset val="1"/>
      </rPr>
      <t xml:space="preserve">(5</t>
    </r>
    <r>
      <rPr>
        <sz val="10"/>
        <color rgb="FF000000"/>
        <rFont val="WenQuanYi Zen Hei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</si>
  <si>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Consumables </t>
    </r>
    <r>
      <rPr>
        <sz val="10"/>
        <color rgb="FF000000"/>
        <rFont val="WenQuanYi Zen Hei"/>
        <family val="2"/>
      </rPr>
      <t xml:space="preserve">원가</t>
    </r>
  </si>
  <si>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년 비용</t>
    </r>
  </si>
  <si>
    <t xml:space="preserve">RESULT</t>
  </si>
  <si>
    <r>
      <rPr>
        <sz val="10"/>
        <color rgb="FF000000"/>
        <rFont val="Arial"/>
        <family val="0"/>
        <charset val="1"/>
      </rPr>
      <t xml:space="preserve">Year 0 </t>
    </r>
    <r>
      <rPr>
        <sz val="10"/>
        <color rgb="FF000000"/>
        <rFont val="WenQuanYi Zen Hei"/>
        <family val="2"/>
      </rPr>
      <t xml:space="preserve">매출</t>
    </r>
  </si>
  <si>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년 매출총이익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획득비용 전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</si>
  <si>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년 </t>
    </r>
    <r>
      <rPr>
        <b val="true"/>
        <sz val="10"/>
        <rFont val="Arial"/>
        <family val="0"/>
        <charset val="1"/>
      </rPr>
      <t xml:space="preserve">Lifetime Contribution</t>
    </r>
  </si>
  <si>
    <t xml:space="preserve">Contribution Margin</t>
  </si>
  <si>
    <r>
      <rPr>
        <sz val="10"/>
        <color rgb="FF000000"/>
        <rFont val="Arial"/>
        <family val="0"/>
        <charset val="1"/>
      </rPr>
      <t xml:space="preserve">Recurring </t>
    </r>
    <r>
      <rPr>
        <sz val="10"/>
        <color rgb="FF000000"/>
        <rFont val="WenQuanYi Zen Hei"/>
        <family val="2"/>
      </rPr>
      <t xml:space="preserve">매출 </t>
    </r>
    <r>
      <rPr>
        <sz val="10"/>
        <color rgb="FF000000"/>
        <rFont val="Arial"/>
        <family val="0"/>
        <charset val="1"/>
      </rPr>
      <t xml:space="preserve">(Rental·Care·Consumables)</t>
    </r>
  </si>
  <si>
    <r>
      <rPr>
        <b val="true"/>
        <sz val="14"/>
        <rFont val="Arial"/>
        <family val="0"/>
        <charset val="1"/>
      </rPr>
      <t xml:space="preserve">Unit Economics — Base (</t>
    </r>
    <r>
      <rPr>
        <b val="true"/>
        <sz val="14"/>
        <rFont val="WenQuanYi Zen Hei"/>
        <family val="2"/>
      </rPr>
      <t xml:space="preserve">만원</t>
    </r>
    <r>
      <rPr>
        <b val="true"/>
        <sz val="14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</si>
  <si>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Rental </t>
    </r>
    <r>
      <rPr>
        <b val="true"/>
        <sz val="10"/>
        <color rgb="FFFFFFFF"/>
        <rFont val="WenQuanYi Zen Hei"/>
        <family val="2"/>
      </rPr>
      <t xml:space="preserve">월 원가 </t>
    </r>
    <r>
      <rPr>
        <b val="true"/>
        <sz val="10"/>
        <color rgb="FFFFFFFF"/>
        <rFont val="Arial"/>
        <family val="0"/>
        <charset val="1"/>
      </rPr>
      <t xml:space="preserve">Build-up (Robot 1</t>
    </r>
    <r>
      <rPr>
        <b val="true"/>
        <sz val="10"/>
        <color rgb="FFFFFFFF"/>
        <rFont val="WenQuanYi Zen Hei"/>
        <family val="2"/>
      </rPr>
      <t xml:space="preserve">대</t>
    </r>
    <r>
      <rPr>
        <b val="true"/>
        <sz val="10"/>
        <color rgb="FFFFFFFF"/>
        <rFont val="Arial"/>
        <family val="0"/>
        <charset val="1"/>
      </rPr>
      <t xml:space="preserve">, ARKI </t>
    </r>
    <r>
      <rPr>
        <b val="true"/>
        <sz val="10"/>
        <color rgb="FFFFFFFF"/>
        <rFont val="WenQuanYi Zen Hei"/>
        <family val="2"/>
      </rPr>
      <t xml:space="preserve">보유 가정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</si>
  <si>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Y3 </t>
    </r>
    <r>
      <rPr>
        <b val="true"/>
        <sz val="10"/>
        <color rgb="FFFFFFFF"/>
        <rFont val="WenQuanYi Zen Hei"/>
        <family val="2"/>
      </rPr>
      <t xml:space="preserve">원가</t>
    </r>
  </si>
  <si>
    <r>
      <rPr>
        <b val="true"/>
        <sz val="10"/>
        <color rgb="FFFFFFFF"/>
        <rFont val="Arial"/>
        <family val="0"/>
        <charset val="1"/>
      </rPr>
      <t xml:space="preserve">Y5 </t>
    </r>
    <r>
      <rPr>
        <b val="true"/>
        <sz val="10"/>
        <color rgb="FFFFFFFF"/>
        <rFont val="WenQuanYi Zen Hei"/>
        <family val="2"/>
      </rPr>
      <t xml:space="preserve">원가</t>
    </r>
  </si>
  <si>
    <t xml:space="preserve">Robot BOM</t>
  </si>
  <si>
    <r>
      <rPr>
        <sz val="10"/>
        <color rgb="FF000000"/>
        <rFont val="WenQuanYi Zen Hei"/>
        <family val="2"/>
      </rPr>
      <t xml:space="preserve">감가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잔존가치 차감</t>
    </r>
    <r>
      <rPr>
        <sz val="10"/>
        <color rgb="FF000000"/>
        <rFont val="Arial"/>
        <family val="0"/>
        <charset val="1"/>
      </rPr>
      <t xml:space="preserve">, 60</t>
    </r>
    <r>
      <rPr>
        <sz val="10"/>
        <color rgb="FF000000"/>
        <rFont val="WenQuanYi Zen Hei"/>
        <family val="2"/>
      </rPr>
      <t xml:space="preserve">개월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</si>
  <si>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금융비용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평균잔액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금리 </t>
    </r>
    <r>
      <rPr>
        <sz val="10"/>
        <color rgb="FF000000"/>
        <rFont val="Arial"/>
        <family val="0"/>
        <charset val="1"/>
      </rPr>
      <t xml:space="preserve">/ 12)</t>
    </r>
  </si>
  <si>
    <r>
      <rPr>
        <sz val="10"/>
        <color rgb="FF000000"/>
        <rFont val="Arial"/>
        <family val="0"/>
        <charset val="1"/>
      </rPr>
      <t xml:space="preserve">Care </t>
    </r>
    <r>
      <rPr>
        <sz val="10"/>
        <color rgb="FF000000"/>
        <rFont val="WenQuanYi Zen Hei"/>
        <family val="2"/>
      </rPr>
      <t xml:space="preserve">원가 </t>
    </r>
    <r>
      <rPr>
        <sz val="10"/>
        <color rgb="FF000000"/>
        <rFont val="Arial"/>
        <family val="0"/>
        <charset val="1"/>
      </rPr>
      <t xml:space="preserve">/ 12</t>
    </r>
  </si>
  <si>
    <r>
      <rPr>
        <sz val="10"/>
        <color rgb="FF000000"/>
        <rFont val="Arial"/>
        <family val="0"/>
        <charset val="1"/>
      </rPr>
      <t xml:space="preserve">Grip Kit </t>
    </r>
    <r>
      <rPr>
        <sz val="10"/>
        <color rgb="FF000000"/>
        <rFont val="WenQuanYi Zen Hei"/>
        <family val="2"/>
      </rPr>
      <t xml:space="preserve">원가 </t>
    </r>
    <r>
      <rPr>
        <sz val="10"/>
        <color rgb="FF000000"/>
        <rFont val="Arial"/>
        <family val="0"/>
        <charset val="1"/>
      </rPr>
      <t xml:space="preserve">/ 12</t>
    </r>
  </si>
  <si>
    <t xml:space="preserve">Failure Reserve</t>
  </si>
  <si>
    <t xml:space="preserve">월 원가 합계</t>
  </si>
  <si>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요금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가정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</si>
  <si>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Arial"/>
        <family val="0"/>
        <charset val="1"/>
      </rPr>
      <t xml:space="preserve">Contribution</t>
    </r>
  </si>
  <si>
    <r>
      <rPr>
        <sz val="10"/>
        <color rgb="FF000000"/>
        <rFont val="WenQuanYi Zen Hei"/>
        <family val="2"/>
      </rPr>
      <t xml:space="preserve">마진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WenQuanYi Zen Hei"/>
        <family val="2"/>
      </rPr>
      <t xml:space="preserve">확보 요금</t>
    </r>
  </si>
  <si>
    <r>
      <rPr>
        <b val="true"/>
        <sz val="10"/>
        <rFont val="Arial"/>
        <family val="0"/>
        <charset val="1"/>
      </rPr>
      <t xml:space="preserve">Payback (BOM ÷ (</t>
    </r>
    <r>
      <rPr>
        <b val="true"/>
        <sz val="10"/>
        <rFont val="WenQuanYi Zen Hei"/>
        <family val="2"/>
      </rPr>
      <t xml:space="preserve">요금 − </t>
    </r>
    <r>
      <rPr>
        <b val="true"/>
        <sz val="10"/>
        <rFont val="Arial"/>
        <family val="0"/>
        <charset val="1"/>
      </rPr>
      <t xml:space="preserve">Care − Grip), </t>
    </r>
    <r>
      <rPr>
        <b val="true"/>
        <sz val="10"/>
        <rFont val="WenQuanYi Zen Hei"/>
        <family val="2"/>
      </rPr>
      <t xml:space="preserve">개월</t>
    </r>
    <r>
      <rPr>
        <b val="true"/>
        <sz val="10"/>
        <rFont val="Arial"/>
        <family val="0"/>
        <charset val="1"/>
      </rPr>
      <t xml:space="preserve">)</t>
    </r>
  </si>
  <si>
    <t xml:space="preserve">금융비용 제외 현금 회수</t>
  </si>
  <si>
    <r>
      <rPr>
        <sz val="10"/>
        <color rgb="FF000000"/>
        <rFont val="Arial"/>
        <family val="0"/>
        <charset val="1"/>
      </rPr>
      <t xml:space="preserve">Payback </t>
    </r>
    <r>
      <rPr>
        <sz val="10"/>
        <color rgb="FF000000"/>
        <rFont val="WenQuanYi Zen Hei"/>
        <family val="2"/>
      </rPr>
      <t xml:space="preserve">허들 충족 최대 </t>
    </r>
    <r>
      <rPr>
        <sz val="10"/>
        <color rgb="FF000000"/>
        <rFont val="Arial"/>
        <family val="0"/>
        <charset val="1"/>
      </rPr>
      <t xml:space="preserve">BOM</t>
    </r>
  </si>
  <si>
    <r>
      <rPr>
        <sz val="10"/>
        <color rgb="FF000000"/>
        <rFont val="Arial"/>
        <family val="0"/>
        <charset val="1"/>
      </rPr>
      <t xml:space="preserve">Rental Partner </t>
    </r>
    <r>
      <rPr>
        <sz val="10"/>
        <color rgb="FF000000"/>
        <rFont val="WenQuanYi Zen Hei"/>
        <family val="2"/>
      </rPr>
      <t xml:space="preserve">요구 </t>
    </r>
    <r>
      <rPr>
        <sz val="10"/>
        <color rgb="FF000000"/>
        <rFont val="Arial"/>
        <family val="0"/>
        <charset val="1"/>
      </rPr>
      <t xml:space="preserve">Payback </t>
    </r>
    <r>
      <rPr>
        <sz val="10"/>
        <color rgb="FF000000"/>
        <rFont val="WenQuanYi Zen Hei"/>
        <family val="2"/>
      </rPr>
      <t xml:space="preserve">기준</t>
    </r>
  </si>
  <si>
    <r>
      <rPr>
        <b val="true"/>
        <sz val="10"/>
        <color rgb="FFFFFFFF"/>
        <rFont val="Arial"/>
        <family val="0"/>
        <charset val="1"/>
      </rPr>
      <t xml:space="preserve">Care Basic (Robot 1</t>
    </r>
    <r>
      <rPr>
        <b val="true"/>
        <sz val="10"/>
        <color rgb="FFFFFFFF"/>
        <rFont val="WenQuanYi Zen Hei"/>
        <family val="2"/>
      </rPr>
      <t xml:space="preserve">대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</si>
  <si>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Care </t>
    </r>
    <r>
      <rPr>
        <sz val="10"/>
        <color rgb="FF000000"/>
        <rFont val="WenQuanYi Zen Hei"/>
        <family val="2"/>
      </rPr>
      <t xml:space="preserve">연 요금</t>
    </r>
  </si>
  <si>
    <t xml:space="preserve">정기 방문 원가</t>
  </si>
  <si>
    <t xml:space="preserve">고장 방문 원가</t>
  </si>
  <si>
    <t xml:space="preserve">Cloud·Software</t>
  </si>
  <si>
    <r>
      <rPr>
        <b val="true"/>
        <sz val="10"/>
        <rFont val="Arial"/>
        <family val="0"/>
        <charset val="1"/>
      </rPr>
      <t xml:space="preserve">Care </t>
    </r>
    <r>
      <rPr>
        <b val="true"/>
        <sz val="10"/>
        <rFont val="WenQuanYi Zen Hei"/>
        <family val="2"/>
      </rPr>
      <t xml:space="preserve">원가 합계</t>
    </r>
  </si>
  <si>
    <t xml:space="preserve">Care Contribution</t>
  </si>
  <si>
    <t xml:space="preserve">Care Margin</t>
  </si>
  <si>
    <r>
      <rPr>
        <b val="true"/>
        <sz val="10"/>
        <color rgb="FFFFFFFF"/>
        <rFont val="Arial"/>
        <family val="0"/>
        <charset val="1"/>
      </rPr>
      <t xml:space="preserve">Consumables (Robot 1</t>
    </r>
    <r>
      <rPr>
        <b val="true"/>
        <sz val="10"/>
        <color rgb="FFFFFFFF"/>
        <rFont val="WenQuanYi Zen Hei"/>
        <family val="2"/>
      </rPr>
      <t xml:space="preserve">대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구매 고객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</si>
  <si>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연 매출</t>
  </si>
  <si>
    <t xml:space="preserve">원가</t>
  </si>
  <si>
    <r>
      <rPr>
        <sz val="10"/>
        <color rgb="FF000000"/>
        <rFont val="Arial"/>
        <family val="0"/>
        <charset val="1"/>
      </rPr>
      <t xml:space="preserve">Grip Kit (List × </t>
    </r>
    <r>
      <rPr>
        <sz val="10"/>
        <color rgb="FF000000"/>
        <rFont val="WenQuanYi Zen Hei"/>
        <family val="2"/>
      </rPr>
      <t xml:space="preserve">구매율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</si>
  <si>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Cleaning Kit (List × </t>
    </r>
    <r>
      <rPr>
        <sz val="10"/>
        <color rgb="FF000000"/>
        <rFont val="WenQuanYi Zen Hei"/>
        <family val="2"/>
      </rPr>
      <t xml:space="preserve">구매율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</si>
  <si>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Protection Kit (List × </t>
    </r>
    <r>
      <rPr>
        <sz val="10"/>
        <color rgb="FF000000"/>
        <rFont val="WenQuanYi Zen Hei"/>
        <family val="2"/>
      </rPr>
      <t xml:space="preserve">구매율</t>
    </r>
    <r>
      <rPr>
        <sz val="10"/>
        <color rgb="FF000000"/>
        <rFont val="Arial"/>
        <family val="0"/>
        <charset val="1"/>
      </rPr>
      <t xml:space="preserve">)</t>
    </r>
  </si>
  <si>
    <t xml:space="preserve">합계</t>
  </si>
  <si>
    <r>
      <rPr>
        <b val="true"/>
        <sz val="10"/>
        <color rgb="FFFFFFFF"/>
        <rFont val="Arial"/>
        <family val="0"/>
        <charset val="1"/>
      </rPr>
      <t xml:space="preserve">Rental Partner </t>
    </r>
    <r>
      <rPr>
        <b val="true"/>
        <sz val="10"/>
        <color rgb="FFFFFFFF"/>
        <rFont val="WenQuanYi Zen Hei"/>
        <family val="2"/>
      </rPr>
      <t xml:space="preserve">경제성 </t>
    </r>
    <r>
      <rPr>
        <b val="true"/>
        <sz val="10"/>
        <color rgb="FFFFFFFF"/>
        <rFont val="Arial"/>
        <family val="0"/>
        <charset val="1"/>
      </rPr>
      <t xml:space="preserve">(Base, Y4~)</t>
    </r>
  </si>
  <si>
    <t xml:space="preserve">값</t>
  </si>
  <si>
    <r>
      <rPr>
        <sz val="10"/>
        <color rgb="FF000000"/>
        <rFont val="Arial"/>
        <family val="0"/>
        <charset val="1"/>
      </rPr>
      <t xml:space="preserve">Robot </t>
    </r>
    <r>
      <rPr>
        <sz val="10"/>
        <color rgb="FF000000"/>
        <rFont val="WenQuanYi Zen Hei"/>
        <family val="2"/>
      </rPr>
      <t xml:space="preserve">매입가 </t>
    </r>
    <r>
      <rPr>
        <sz val="10"/>
        <color rgb="FF000000"/>
        <rFont val="Arial"/>
        <family val="0"/>
        <charset val="1"/>
      </rPr>
      <t xml:space="preserve">(ASP × </t>
    </r>
    <r>
      <rPr>
        <sz val="10"/>
        <color rgb="FF000000"/>
        <rFont val="WenQuanYi Zen Hei"/>
        <family val="2"/>
      </rPr>
      <t xml:space="preserve">공급가율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</si>
  <si>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월 순유입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요금 − </t>
    </r>
    <r>
      <rPr>
        <sz val="10"/>
        <color rgb="FF000000"/>
        <rFont val="Arial"/>
        <family val="0"/>
        <charset val="1"/>
      </rPr>
      <t xml:space="preserve">ARKI </t>
    </r>
    <r>
      <rPr>
        <sz val="10"/>
        <color rgb="FF000000"/>
        <rFont val="WenQuanYi Zen Hei"/>
        <family val="2"/>
      </rPr>
      <t xml:space="preserve">서비스료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</si>
  <si>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잔존가치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매입가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잔존율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</si>
  <si>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Arial"/>
        <family val="0"/>
        <charset val="1"/>
      </rPr>
      <t xml:space="preserve">IRR</t>
    </r>
  </si>
  <si>
    <r>
      <rPr>
        <sz val="10"/>
        <color rgb="FF000000"/>
        <rFont val="Arial"/>
        <family val="0"/>
        <charset val="1"/>
      </rPr>
      <t xml:space="preserve">RATE(</t>
    </r>
    <r>
      <rPr>
        <sz val="10"/>
        <color rgb="FF000000"/>
        <rFont val="WenQuanYi Zen Hei"/>
        <family val="2"/>
      </rPr>
      <t xml:space="preserve">기간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월 유입</t>
    </r>
    <r>
      <rPr>
        <sz val="10"/>
        <color rgb="FF000000"/>
        <rFont val="Arial"/>
        <family val="0"/>
        <charset val="1"/>
      </rPr>
      <t xml:space="preserve">, −</t>
    </r>
    <r>
      <rPr>
        <sz val="10"/>
        <color rgb="FF000000"/>
        <rFont val="WenQuanYi Zen Hei"/>
        <family val="2"/>
      </rPr>
      <t xml:space="preserve">매입가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잔존가치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</si>
  <si>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연 </t>
    </r>
    <r>
      <rPr>
        <b val="true"/>
        <sz val="10"/>
        <rFont val="Arial"/>
        <family val="0"/>
        <charset val="1"/>
      </rPr>
      <t xml:space="preserve">IRR (</t>
    </r>
    <r>
      <rPr>
        <b val="true"/>
        <sz val="10"/>
        <rFont val="WenQuanYi Zen Hei"/>
        <family val="2"/>
      </rPr>
      <t xml:space="preserve">연체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해지 미반영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</si>
  <si>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Robot BOM </t>
    </r>
    <r>
      <rPr>
        <b val="true"/>
        <sz val="10"/>
        <color rgb="FFFFFFFF"/>
        <rFont val="WenQuanYi Zen Hei"/>
        <family val="2"/>
      </rPr>
      <t xml:space="preserve">구성 </t>
    </r>
    <r>
      <rPr>
        <b val="true"/>
        <sz val="10"/>
        <color rgb="FFFFFFFF"/>
        <rFont val="Arial"/>
        <family val="0"/>
        <charset val="1"/>
      </rPr>
      <t xml:space="preserve">(ASSUMPTION, </t>
    </r>
    <r>
      <rPr>
        <b val="true"/>
        <sz val="10"/>
        <color rgb="FFFFFFFF"/>
        <rFont val="WenQuanYi Zen Hei"/>
        <family val="2"/>
      </rPr>
      <t xml:space="preserve">만원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</si>
  <si>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Pilot (Y1)</t>
  </si>
  <si>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축 </t>
    </r>
    <r>
      <rPr>
        <sz val="10"/>
        <color rgb="FF000000"/>
        <rFont val="Arial"/>
        <family val="0"/>
        <charset val="1"/>
      </rPr>
      <t xml:space="preserve">Arm (</t>
    </r>
    <r>
      <rPr>
        <sz val="10"/>
        <color rgb="FF000000"/>
        <rFont val="WenQuanYi Zen Hei"/>
        <family val="2"/>
      </rPr>
      <t xml:space="preserve">가반 </t>
    </r>
    <r>
      <rPr>
        <sz val="10"/>
        <color rgb="FF000000"/>
        <rFont val="Arial"/>
        <family val="0"/>
        <charset val="1"/>
      </rPr>
      <t xml:space="preserve">3~5kg, Controller </t>
    </r>
    <r>
      <rPr>
        <sz val="10"/>
        <color rgb="FF000000"/>
        <rFont val="WenQuanYi Zen Hei"/>
        <family val="2"/>
      </rPr>
      <t xml:space="preserve">포함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</si>
  <si>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FAIRINO FR5 $6,999 · xArm 6 $8,399 </t>
    </r>
    <r>
      <rPr>
        <sz val="10"/>
        <color rgb="FF000000"/>
        <rFont val="WenQuanYi Zen Hei"/>
        <family val="2"/>
      </rPr>
      <t xml:space="preserve">공개가 → </t>
    </r>
    <r>
      <rPr>
        <sz val="10"/>
        <color rgb="FF000000"/>
        <rFont val="Arial"/>
        <family val="0"/>
        <charset val="1"/>
      </rPr>
      <t xml:space="preserve">OEM·</t>
    </r>
    <r>
      <rPr>
        <sz val="10"/>
        <color rgb="FF000000"/>
        <rFont val="WenQuanYi Zen Hei"/>
        <family val="2"/>
      </rPr>
      <t xml:space="preserve">국산 </t>
    </r>
    <r>
      <rPr>
        <sz val="10"/>
        <color rgb="FF000000"/>
        <rFont val="Arial"/>
        <family val="0"/>
        <charset val="1"/>
      </rPr>
      <t xml:space="preserve">Partner·</t>
    </r>
    <r>
      <rPr>
        <sz val="10"/>
        <color rgb="FF000000"/>
        <rFont val="WenQuanYi Zen Hei"/>
        <family val="2"/>
      </rPr>
      <t xml:space="preserve">전용 </t>
    </r>
    <r>
      <rPr>
        <sz val="10"/>
        <color rgb="FF000000"/>
        <rFont val="Arial"/>
        <family val="0"/>
        <charset val="1"/>
      </rPr>
      <t xml:space="preserve">Arm</t>
    </r>
  </si>
  <si>
    <t xml:space="preserve">Linear Rail · Carriage · Servo (2.4~3.6m)</t>
  </si>
  <si>
    <r>
      <rPr>
        <sz val="10"/>
        <color rgb="FF000000"/>
        <rFont val="Arial"/>
        <family val="0"/>
        <charset val="1"/>
      </rPr>
      <t xml:space="preserve">Belt </t>
    </r>
    <r>
      <rPr>
        <sz val="10"/>
        <color rgb="FF000000"/>
        <rFont val="WenQuanYi Zen Hei"/>
        <family val="2"/>
      </rPr>
      <t xml:space="preserve">구동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축 </t>
    </r>
    <r>
      <rPr>
        <sz val="10"/>
        <color rgb="FF000000"/>
        <rFont val="Arial"/>
        <family val="0"/>
        <charset val="1"/>
      </rPr>
      <t xml:space="preserve">Rail. </t>
    </r>
    <r>
      <rPr>
        <sz val="10"/>
        <color rgb="FF000000"/>
        <rFont val="WenQuanYi Zen Hei"/>
        <family val="2"/>
      </rPr>
      <t xml:space="preserve">소형 </t>
    </r>
    <r>
      <rPr>
        <sz val="10"/>
        <color rgb="FF000000"/>
        <rFont val="Arial"/>
        <family val="0"/>
        <charset val="1"/>
      </rPr>
      <t xml:space="preserve">KK Module $73~245</t>
    </r>
    <r>
      <rPr>
        <sz val="10"/>
        <color rgb="FF000000"/>
        <rFont val="WenQuanYi Zen Hei"/>
        <family val="2"/>
      </rPr>
      <t xml:space="preserve">는 참고만</t>
    </r>
  </si>
  <si>
    <t xml:space="preserve">End-effector Set (Gripper + Suction + Tool Changer)</t>
  </si>
  <si>
    <r>
      <rPr>
        <sz val="10"/>
        <color rgb="FF000000"/>
        <rFont val="Arial"/>
        <family val="0"/>
        <charset val="1"/>
      </rPr>
      <t xml:space="preserve">Robotiq 2F-85 $4,999 </t>
    </r>
    <r>
      <rPr>
        <sz val="10"/>
        <color rgb="FF000000"/>
        <rFont val="WenQuanYi Zen Hei"/>
        <family val="2"/>
      </rPr>
      <t xml:space="preserve">대비 저가 전동 </t>
    </r>
    <r>
      <rPr>
        <sz val="10"/>
        <color rgb="FF000000"/>
        <rFont val="Arial"/>
        <family val="0"/>
        <charset val="1"/>
      </rPr>
      <t xml:space="preserve">Gripper + </t>
    </r>
    <r>
      <rPr>
        <sz val="10"/>
        <color rgb="FF000000"/>
        <rFont val="WenQuanYi Zen Hei"/>
        <family val="2"/>
      </rPr>
      <t xml:space="preserve">자체 </t>
    </r>
    <r>
      <rPr>
        <sz val="10"/>
        <color rgb="FF000000"/>
        <rFont val="Arial"/>
        <family val="0"/>
        <charset val="1"/>
      </rPr>
      <t xml:space="preserve">Finger</t>
    </r>
  </si>
  <si>
    <r>
      <rPr>
        <sz val="10"/>
        <color rgb="FF000000"/>
        <rFont val="Arial"/>
        <family val="0"/>
        <charset val="1"/>
      </rPr>
      <t xml:space="preserve">Vision (Depth Camera 2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Arial"/>
        <family val="0"/>
        <charset val="1"/>
      </rPr>
      <t xml:space="preserve">+ Mount)</t>
    </r>
  </si>
  <si>
    <t xml:space="preserve">Orbbec Gemini 335 $384~400 · RealSense D405 $514</t>
  </si>
  <si>
    <t xml:space="preserve">Compute (Edge GPU)</t>
  </si>
  <si>
    <r>
      <rPr>
        <sz val="10"/>
        <color rgb="FF000000"/>
        <rFont val="Arial"/>
        <family val="0"/>
        <charset val="1"/>
      </rPr>
      <t xml:space="preserve">Edge AI Module </t>
    </r>
    <r>
      <rPr>
        <sz val="10"/>
        <color rgb="FF000000"/>
        <rFont val="WenQuanYi Zen Hei"/>
        <family val="2"/>
      </rPr>
      <t xml:space="preserve">가정</t>
    </r>
  </si>
  <si>
    <t xml:space="preserve">Safety (Zone Sensor·Safety Controller)</t>
  </si>
  <si>
    <r>
      <rPr>
        <sz val="10"/>
        <color rgb="FF000000"/>
        <rFont val="Arial"/>
        <family val="0"/>
        <charset val="1"/>
      </rPr>
      <t xml:space="preserve">ToF/Radar Zone Sensor + Safety Relay </t>
    </r>
    <r>
      <rPr>
        <sz val="10"/>
        <color rgb="FF000000"/>
        <rFont val="WenQuanYi Zen Hei"/>
        <family val="2"/>
      </rPr>
      <t xml:space="preserve">가정</t>
    </r>
  </si>
  <si>
    <t xml:space="preserve">Garage Door · Harness · Enclosure</t>
  </si>
  <si>
    <r>
      <rPr>
        <sz val="10"/>
        <color rgb="FF000000"/>
        <rFont val="WenQuanYi Zen Hei"/>
        <family val="2"/>
      </rPr>
      <t xml:space="preserve">조립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시험 </t>
    </r>
    <r>
      <rPr>
        <sz val="10"/>
        <color rgb="FF000000"/>
        <rFont val="Arial"/>
        <family val="0"/>
        <charset val="1"/>
      </rPr>
      <t xml:space="preserve">(Pilot</t>
    </r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Arial"/>
        <family val="0"/>
        <charset val="1"/>
      </rPr>
      <t xml:space="preserve">Opex </t>
    </r>
    <r>
      <rPr>
        <sz val="10"/>
        <color rgb="FF000000"/>
        <rFont val="WenQuanYi Zen Hei"/>
        <family val="2"/>
      </rPr>
      <t xml:space="preserve">인건비 처리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</si>
  <si>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검증</t>
    </r>
    <r>
      <rPr>
        <sz val="10"/>
        <color rgb="FF000000"/>
        <rFont val="Arial"/>
        <family val="0"/>
        <charset val="1"/>
      </rPr>
      <t xml:space="preserve">: Inputs_Yearly Base BOM</t>
    </r>
    <r>
      <rPr>
        <sz val="10"/>
        <color rgb="FF000000"/>
        <rFont val="WenQuanYi Zen Hei"/>
        <family val="2"/>
      </rPr>
      <t xml:space="preserve">과 차이 </t>
    </r>
    <r>
      <rPr>
        <sz val="10"/>
        <color rgb="FF000000"/>
        <rFont val="Arial"/>
        <family val="0"/>
        <charset val="1"/>
      </rPr>
      <t xml:space="preserve">(0</t>
    </r>
    <r>
      <rPr>
        <sz val="10"/>
        <color rgb="FF000000"/>
        <rFont val="WenQuanYi Zen Hei"/>
        <family val="2"/>
      </rPr>
      <t xml:space="preserve">이어야 함</t>
    </r>
    <r>
      <rPr>
        <sz val="10"/>
        <color rgb="FF000000"/>
        <rFont val="Arial"/>
        <family val="0"/>
        <charset val="1"/>
      </rPr>
      <t xml:space="preserve">)</t>
    </r>
  </si>
  <si>
    <t xml:space="preserve">Market Sizing — Bottom-up (Base)</t>
  </si>
  <si>
    <r>
      <rPr>
        <b val="true"/>
        <sz val="10"/>
        <color rgb="FFFFFFFF"/>
        <rFont val="WenQuanYi Zen Hei"/>
        <family val="2"/>
      </rPr>
      <t xml:space="preserve">산식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출처</t>
    </r>
  </si>
  <si>
    <r>
      <rPr>
        <sz val="10"/>
        <color rgb="FF000000"/>
        <rFont val="WenQuanYi Zen Hei"/>
        <family val="2"/>
      </rPr>
      <t xml:space="preserve">총주택 </t>
    </r>
    <r>
      <rPr>
        <sz val="10"/>
        <color rgb="FF000000"/>
        <rFont val="Arial"/>
        <family val="0"/>
        <charset val="1"/>
      </rPr>
      <t xml:space="preserve">(2025)</t>
    </r>
  </si>
  <si>
    <r>
      <rPr>
        <sz val="10"/>
        <color rgb="FF000000"/>
        <rFont val="WenQuanYi Zen Hei"/>
        <family val="2"/>
      </rPr>
      <t xml:space="preserve">국가데이터처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인구주택총조사</t>
    </r>
  </si>
  <si>
    <t xml:space="preserve">아파트 비중</t>
  </si>
  <si>
    <r>
      <rPr>
        <sz val="10"/>
        <color rgb="FF000000"/>
        <rFont val="WenQuanYi Zen Hei"/>
        <family val="2"/>
      </rPr>
      <t xml:space="preserve">아파트 수 </t>
    </r>
    <r>
      <rPr>
        <sz val="10"/>
        <color rgb="FF000000"/>
        <rFont val="Arial"/>
        <family val="0"/>
        <charset val="1"/>
      </rPr>
      <t xml:space="preserve">(2025)</t>
    </r>
  </si>
  <si>
    <r>
      <rPr>
        <sz val="10"/>
        <color rgb="FF000000"/>
        <rFont val="WenQuanYi Zen Hei"/>
        <family val="2"/>
      </rPr>
      <t xml:space="preserve">총주택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비중</t>
    </r>
  </si>
  <si>
    <r>
      <rPr>
        <sz val="10"/>
        <color rgb="FF000000"/>
        <rFont val="WenQuanYi Zen Hei"/>
        <family val="2"/>
      </rPr>
      <t xml:space="preserve">교차검증 ①</t>
    </r>
    <r>
      <rPr>
        <sz val="10"/>
        <color rgb="FF000000"/>
        <rFont val="Arial"/>
        <family val="0"/>
        <charset val="1"/>
      </rPr>
      <t xml:space="preserve">: 20</t>
    </r>
    <r>
      <rPr>
        <sz val="10"/>
        <color rgb="FF000000"/>
        <rFont val="WenQuanYi Zen Hei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아파트</t>
    </r>
    <r>
      <rPr>
        <sz val="10"/>
        <color rgb="FF000000"/>
        <rFont val="Arial"/>
        <family val="0"/>
        <charset val="1"/>
      </rPr>
      <t xml:space="preserve">(2023) ÷ </t>
    </r>
    <r>
      <rPr>
        <sz val="10"/>
        <color rgb="FF000000"/>
        <rFont val="WenQuanYi Zen Hei"/>
        <family val="2"/>
      </rPr>
      <t xml:space="preserve">교체주기</t>
    </r>
  </si>
  <si>
    <r>
      <rPr>
        <sz val="10"/>
        <color rgb="FF000000"/>
        <rFont val="WenQuanYi Zen Hei"/>
        <family val="2"/>
      </rPr>
      <t xml:space="preserve">교차검증 ②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매매거래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아파트 비중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교체율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비거래 교체</t>
    </r>
  </si>
  <si>
    <r>
      <rPr>
        <sz val="10"/>
        <color rgb="FF000000"/>
        <rFont val="WenQuanYi Zen Hei"/>
        <family val="2"/>
      </rPr>
      <t xml:space="preserve">연간 </t>
    </r>
    <r>
      <rPr>
        <sz val="10"/>
        <color rgb="FF000000"/>
        <rFont val="Arial"/>
        <family val="0"/>
        <charset val="1"/>
      </rPr>
      <t xml:space="preserve">Kitchen </t>
    </r>
    <r>
      <rPr>
        <sz val="10"/>
        <color rgb="FF000000"/>
        <rFont val="WenQuanYi Zen Hei"/>
        <family val="2"/>
      </rPr>
      <t xml:space="preserve">교체 세대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설정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</si>
  <si>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①·② </t>
    </r>
    <r>
      <rPr>
        <sz val="10"/>
        <color rgb="FF000000"/>
        <rFont val="WenQuanYi Zen Hei"/>
        <family val="2"/>
      </rPr>
      <t xml:space="preserve">교차검증 후 설정</t>
    </r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</si>
  <si>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비중</t>
    </r>
  </si>
  <si>
    <r>
      <rPr>
        <sz val="10"/>
        <color rgb="FF000000"/>
        <rFont val="Arial"/>
        <family val="0"/>
        <charset val="1"/>
      </rPr>
      <t xml:space="preserve">Premium Kitchen </t>
    </r>
    <r>
      <rPr>
        <sz val="10"/>
        <color rgb="FF000000"/>
        <rFont val="WenQuanYi Zen Hei"/>
        <family val="2"/>
      </rPr>
      <t xml:space="preserve">교체 세대</t>
    </r>
  </si>
  <si>
    <r>
      <rPr>
        <sz val="10"/>
        <color rgb="FF000000"/>
        <rFont val="Arial"/>
        <family val="0"/>
        <charset val="1"/>
      </rPr>
      <t xml:space="preserve">Robot-ready </t>
    </r>
    <r>
      <rPr>
        <sz val="10"/>
        <color rgb="FF000000"/>
        <rFont val="WenQuanYi Zen Hei"/>
        <family val="2"/>
      </rPr>
      <t xml:space="preserve">적용 가능률</t>
    </r>
  </si>
  <si>
    <r>
      <rPr>
        <sz val="10"/>
        <color rgb="FF000000"/>
        <rFont val="WenQuanYi Zen Hei"/>
        <family val="2"/>
      </rPr>
      <t xml:space="preserve">구축 </t>
    </r>
    <r>
      <rPr>
        <sz val="10"/>
        <color rgb="FF000000"/>
        <rFont val="Arial"/>
        <family val="0"/>
        <charset val="1"/>
      </rPr>
      <t xml:space="preserve">SAM </t>
    </r>
    <r>
      <rPr>
        <sz val="10"/>
        <color rgb="FF000000"/>
        <rFont val="WenQuanYi Zen Hei"/>
        <family val="2"/>
      </rPr>
      <t xml:space="preserve">세대</t>
    </r>
  </si>
  <si>
    <r>
      <rPr>
        <sz val="10"/>
        <color rgb="FF000000"/>
        <rFont val="WenQuanYi Zen Hei"/>
        <family val="2"/>
      </rPr>
      <t xml:space="preserve">구축 패키지 기대 매출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세대</t>
    </r>
  </si>
  <si>
    <r>
      <rPr>
        <sz val="10"/>
        <color rgb="FF000000"/>
        <rFont val="Arial"/>
        <family val="0"/>
        <charset val="1"/>
      </rPr>
      <t xml:space="preserve">Robot-ready + Attach × (Robot + </t>
    </r>
    <r>
      <rPr>
        <sz val="10"/>
        <color rgb="FF000000"/>
        <rFont val="WenQuanYi Zen Hei"/>
        <family val="2"/>
      </rPr>
      <t xml:space="preserve">설치</t>
    </r>
    <r>
      <rPr>
        <sz val="10"/>
        <color rgb="FF000000"/>
        <rFont val="Arial"/>
        <family val="0"/>
        <charset val="1"/>
      </rPr>
      <t xml:space="preserve">)</t>
    </r>
  </si>
  <si>
    <t xml:space="preserve">연간 신규 아파트 입주</t>
  </si>
  <si>
    <r>
      <rPr>
        <sz val="10"/>
        <color rgb="FF000000"/>
        <rFont val="Arial"/>
        <family val="0"/>
        <charset val="1"/>
      </rPr>
      <t xml:space="preserve">2025 23.6</t>
    </r>
    <r>
      <rPr>
        <sz val="10"/>
        <color rgb="FF000000"/>
        <rFont val="WenQuanYi Zen Hei"/>
        <family val="2"/>
      </rPr>
      <t xml:space="preserve">만 </t>
    </r>
    <r>
      <rPr>
        <sz val="10"/>
        <color rgb="FF000000"/>
        <rFont val="Arial"/>
        <family val="0"/>
        <charset val="1"/>
      </rPr>
      <t xml:space="preserve">· 2026E 18.3</t>
    </r>
    <r>
      <rPr>
        <sz val="10"/>
        <color rgb="FF000000"/>
        <rFont val="WenQuanYi Zen Hei"/>
        <family val="2"/>
      </rPr>
      <t xml:space="preserve">만</t>
    </r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</si>
  <si>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단지 비중</t>
    </r>
  </si>
  <si>
    <r>
      <rPr>
        <sz val="10"/>
        <color rgb="FF000000"/>
        <rFont val="WenQuanYi Zen Hei"/>
        <family val="2"/>
      </rPr>
      <t xml:space="preserve">신축 </t>
    </r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세대</t>
    </r>
  </si>
  <si>
    <r>
      <rPr>
        <sz val="10"/>
        <color rgb="FF000000"/>
        <rFont val="Arial"/>
        <family val="0"/>
        <charset val="1"/>
      </rPr>
      <t xml:space="preserve">Robot-ready Option </t>
    </r>
    <r>
      <rPr>
        <sz val="10"/>
        <color rgb="FF000000"/>
        <rFont val="WenQuanYi Zen Hei"/>
        <family val="2"/>
      </rPr>
      <t xml:space="preserve">선택률</t>
    </r>
  </si>
  <si>
    <r>
      <rPr>
        <sz val="10"/>
        <color rgb="FF000000"/>
        <rFont val="WenQuanYi Zen Hei"/>
        <family val="2"/>
      </rPr>
      <t xml:space="preserve">신축 </t>
    </r>
    <r>
      <rPr>
        <sz val="10"/>
        <color rgb="FF000000"/>
        <rFont val="Arial"/>
        <family val="0"/>
        <charset val="1"/>
      </rPr>
      <t xml:space="preserve">SAM </t>
    </r>
    <r>
      <rPr>
        <sz val="10"/>
        <color rgb="FF000000"/>
        <rFont val="WenQuanYi Zen Hei"/>
        <family val="2"/>
      </rPr>
      <t xml:space="preserve">세대</t>
    </r>
  </si>
  <si>
    <r>
      <rPr>
        <sz val="10"/>
        <color rgb="FF000000"/>
        <rFont val="WenQuanYi Zen Hei"/>
        <family val="2"/>
      </rPr>
      <t xml:space="preserve">신축 패키지 기대 매출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세대</t>
    </r>
  </si>
  <si>
    <r>
      <rPr>
        <sz val="10"/>
        <color rgb="FF000000"/>
        <rFont val="WenQuanYi Zen Hei"/>
        <family val="2"/>
      </rPr>
      <t xml:space="preserve">전체 패키지 단가 </t>
    </r>
    <r>
      <rPr>
        <sz val="10"/>
        <color rgb="FF000000"/>
        <rFont val="Arial"/>
        <family val="0"/>
        <charset val="1"/>
      </rPr>
      <t xml:space="preserve">(Robot-ready + Robot + </t>
    </r>
    <r>
      <rPr>
        <sz val="10"/>
        <color rgb="FF000000"/>
        <rFont val="WenQuanYi Zen Hei"/>
        <family val="2"/>
      </rPr>
      <t xml:space="preserve">설치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</si>
  <si>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TAM: Premium </t>
    </r>
    <r>
      <rPr>
        <b val="true"/>
        <sz val="10"/>
        <rFont val="WenQuanYi Zen Hei"/>
        <family val="2"/>
      </rPr>
      <t xml:space="preserve">세대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구축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WenQuanYi Zen Hei"/>
        <family val="2"/>
      </rPr>
      <t xml:space="preserve">신축</t>
    </r>
    <r>
      <rPr>
        <b val="true"/>
        <sz val="10"/>
        <rFont val="Arial"/>
        <family val="0"/>
        <charset val="1"/>
      </rPr>
      <t xml:space="preserve">) × </t>
    </r>
    <r>
      <rPr>
        <b val="true"/>
        <sz val="10"/>
        <rFont val="WenQuanYi Zen Hei"/>
        <family val="2"/>
      </rPr>
      <t xml:space="preserve">전체 패키지</t>
    </r>
  </si>
  <si>
    <r>
      <rPr>
        <sz val="10"/>
        <color rgb="FF000000"/>
        <rFont val="WenQuanYi Zen Hei"/>
        <family val="2"/>
      </rPr>
      <t xml:space="preserve">억원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년</t>
    </r>
  </si>
  <si>
    <r>
      <rPr>
        <sz val="10"/>
        <color rgb="FF000000"/>
        <rFont val="WenQuanYi Zen Hei"/>
        <family val="2"/>
      </rPr>
      <t xml:space="preserve">천세대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만원 </t>
    </r>
    <r>
      <rPr>
        <sz val="10"/>
        <color rgb="FF000000"/>
        <rFont val="Arial"/>
        <family val="0"/>
        <charset val="1"/>
      </rPr>
      <t xml:space="preserve">÷ 10 = </t>
    </r>
    <r>
      <rPr>
        <sz val="10"/>
        <color rgb="FF000000"/>
        <rFont val="WenQuanYi Zen Hei"/>
        <family val="2"/>
      </rPr>
      <t xml:space="preserve">억원</t>
    </r>
  </si>
  <si>
    <r>
      <rPr>
        <sz val="10"/>
        <color rgb="FF000000"/>
        <rFont val="Arial"/>
        <family val="0"/>
        <charset val="1"/>
      </rPr>
      <t xml:space="preserve">SAM </t>
    </r>
    <r>
      <rPr>
        <sz val="10"/>
        <color rgb="FF000000"/>
        <rFont val="WenQuanYi Zen Hei"/>
        <family val="2"/>
      </rPr>
      <t xml:space="preserve">구축</t>
    </r>
  </si>
  <si>
    <r>
      <rPr>
        <sz val="10"/>
        <color rgb="FF000000"/>
        <rFont val="Arial"/>
        <family val="0"/>
        <charset val="1"/>
      </rPr>
      <t xml:space="preserve">SAM </t>
    </r>
    <r>
      <rPr>
        <sz val="10"/>
        <color rgb="FF000000"/>
        <rFont val="WenQuanYi Zen Hei"/>
        <family val="2"/>
      </rPr>
      <t xml:space="preserve">신축</t>
    </r>
  </si>
  <si>
    <r>
      <rPr>
        <b val="true"/>
        <sz val="10"/>
        <rFont val="Arial"/>
        <family val="0"/>
        <charset val="1"/>
      </rPr>
      <t xml:space="preserve">SAM </t>
    </r>
    <r>
      <rPr>
        <b val="true"/>
        <sz val="10"/>
        <rFont val="WenQuanYi Zen Hei"/>
        <family val="2"/>
      </rPr>
      <t xml:space="preserve">합계</t>
    </r>
  </si>
  <si>
    <r>
      <rPr>
        <b val="true"/>
        <sz val="10"/>
        <rFont val="Arial"/>
        <family val="0"/>
        <charset val="1"/>
      </rPr>
      <t xml:space="preserve">SOM: Y5 </t>
    </r>
    <r>
      <rPr>
        <b val="true"/>
        <sz val="10"/>
        <rFont val="WenQuanYi Zen Hei"/>
        <family val="2"/>
      </rPr>
      <t xml:space="preserve">매출 </t>
    </r>
    <r>
      <rPr>
        <b val="true"/>
        <sz val="10"/>
        <rFont val="Arial"/>
        <family val="0"/>
        <charset val="1"/>
      </rPr>
      <t xml:space="preserve">(Base Plan)</t>
    </r>
  </si>
  <si>
    <t xml:space="preserve">FM_Base Y5</t>
  </si>
  <si>
    <r>
      <rPr>
        <b val="true"/>
        <sz val="10"/>
        <rFont val="Arial"/>
        <family val="0"/>
        <charset val="1"/>
      </rPr>
      <t xml:space="preserve">SOM </t>
    </r>
    <r>
      <rPr>
        <b val="true"/>
        <sz val="10"/>
        <rFont val="WenQuanYi Zen Hei"/>
        <family val="2"/>
      </rPr>
      <t xml:space="preserve">세대 </t>
    </r>
    <r>
      <rPr>
        <b val="true"/>
        <sz val="10"/>
        <rFont val="Arial"/>
        <family val="0"/>
        <charset val="1"/>
      </rPr>
      <t xml:space="preserve">/ SAM </t>
    </r>
    <r>
      <rPr>
        <b val="true"/>
        <sz val="10"/>
        <rFont val="WenQuanYi Zen Hei"/>
        <family val="2"/>
      </rPr>
      <t xml:space="preserve">세대</t>
    </r>
  </si>
  <si>
    <r>
      <rPr>
        <b val="true"/>
        <sz val="14"/>
        <rFont val="Arial"/>
        <family val="0"/>
        <charset val="1"/>
      </rPr>
      <t xml:space="preserve">Sensitivity — </t>
    </r>
    <r>
      <rPr>
        <b val="true"/>
        <sz val="14"/>
        <rFont val="WenQuanYi Zen Hei"/>
        <family val="2"/>
      </rPr>
      <t xml:space="preserve">구축 구매 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세대 </t>
    </r>
    <r>
      <rPr>
        <b val="true"/>
        <sz val="14"/>
        <rFont val="Arial"/>
        <family val="0"/>
        <charset val="1"/>
      </rPr>
      <t xml:space="preserve">5</t>
    </r>
    <r>
      <rPr>
        <b val="true"/>
        <sz val="14"/>
        <rFont val="WenQuanYi Zen Hei"/>
        <family val="2"/>
      </rPr>
      <t xml:space="preserve">년 </t>
    </r>
    <r>
      <rPr>
        <b val="true"/>
        <sz val="14"/>
        <rFont val="Arial"/>
        <family val="0"/>
        <charset val="1"/>
      </rPr>
      <t xml:space="preserve">Contribution (Base, Y3 </t>
    </r>
    <r>
      <rPr>
        <b val="true"/>
        <sz val="14"/>
        <rFont val="WenQuanYi Zen Hei"/>
        <family val="2"/>
      </rPr>
      <t xml:space="preserve">원가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직접판매</t>
    </r>
    <r>
      <rPr>
        <b val="true"/>
        <sz val="14"/>
        <rFont val="Arial"/>
        <family val="0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</si>
  <si>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각 행은 한 변수만 바꾼 파라미터 세트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파란 글자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변경값</t>
    </r>
    <r>
      <rPr>
        <sz val="11"/>
        <color theme="1"/>
        <rFont val="Calibri"/>
        <family val="2"/>
        <charset val="1"/>
      </rPr>
      <t xml:space="preserve">). Contribution </t>
    </r>
    <r>
      <rPr>
        <sz val="11"/>
        <color theme="1"/>
        <rFont val="WenQuanYi Zen Hei"/>
        <family val="2"/>
      </rPr>
      <t xml:space="preserve">수식은 </t>
    </r>
    <r>
      <rPr>
        <sz val="11"/>
        <color theme="1"/>
        <rFont val="Calibri"/>
        <family val="2"/>
        <charset val="1"/>
      </rPr>
      <t xml:space="preserve">Household </t>
    </r>
    <r>
      <rPr>
        <sz val="11"/>
        <color theme="1"/>
        <rFont val="WenQuanYi Zen Hei"/>
        <family val="2"/>
      </rPr>
      <t xml:space="preserve">시트와 동일 구조</t>
    </r>
    <r>
      <rPr>
        <sz val="11"/>
        <color theme="1"/>
        <rFont val="Calibri"/>
        <family val="2"/>
        <charset val="1"/>
      </rPr>
      <t xml:space="preserve">.</t>
    </r>
  </si>
  <si>
    <t xml:space="preserve">Case</t>
  </si>
  <si>
    <t xml:space="preserve">Δ vs Base</t>
  </si>
  <si>
    <r>
      <rPr>
        <sz val="10"/>
        <color rgb="FF000000"/>
        <rFont val="Arial"/>
        <family val="0"/>
        <charset val="1"/>
      </rPr>
      <t xml:space="preserve">Robot ASP (WTP) — </t>
    </r>
    <r>
      <rPr>
        <sz val="10"/>
        <color rgb="FF000000"/>
        <rFont val="WenQuanYi Zen Hei"/>
        <family val="2"/>
      </rPr>
      <t xml:space="preserve">불리</t>
    </r>
  </si>
  <si>
    <r>
      <rPr>
        <sz val="10"/>
        <color rgb="FF000000"/>
        <rFont val="Arial"/>
        <family val="0"/>
        <charset val="1"/>
      </rPr>
      <t xml:space="preserve">Robot ASP (WTP) — </t>
    </r>
    <r>
      <rPr>
        <sz val="10"/>
        <color rgb="FF000000"/>
        <rFont val="WenQuanYi Zen Hei"/>
        <family val="2"/>
      </rPr>
      <t xml:space="preserve">유리</t>
    </r>
  </si>
  <si>
    <r>
      <rPr>
        <sz val="10"/>
        <color rgb="FF000000"/>
        <rFont val="Arial"/>
        <family val="0"/>
        <charset val="1"/>
      </rPr>
      <t xml:space="preserve">Robot BOM — </t>
    </r>
    <r>
      <rPr>
        <sz val="10"/>
        <color rgb="FF000000"/>
        <rFont val="WenQuanYi Zen Hei"/>
        <family val="2"/>
      </rPr>
      <t xml:space="preserve">불리</t>
    </r>
  </si>
  <si>
    <r>
      <rPr>
        <sz val="10"/>
        <color rgb="FF000000"/>
        <rFont val="Arial"/>
        <family val="0"/>
        <charset val="1"/>
      </rPr>
      <t xml:space="preserve">Robot BOM — </t>
    </r>
    <r>
      <rPr>
        <sz val="10"/>
        <color rgb="FF000000"/>
        <rFont val="WenQuanYi Zen Hei"/>
        <family val="2"/>
      </rPr>
      <t xml:space="preserve">유리</t>
    </r>
  </si>
  <si>
    <r>
      <rPr>
        <sz val="10"/>
        <color rgb="FF000000"/>
        <rFont val="Arial"/>
        <family val="0"/>
        <charset val="1"/>
      </rPr>
      <t xml:space="preserve">Robot-ready </t>
    </r>
    <r>
      <rPr>
        <sz val="10"/>
        <color rgb="FF000000"/>
        <rFont val="WenQuanYi Zen Hei"/>
        <family val="2"/>
      </rPr>
      <t xml:space="preserve">증분가 — 불리</t>
    </r>
  </si>
  <si>
    <r>
      <rPr>
        <sz val="10"/>
        <color rgb="FF000000"/>
        <rFont val="Arial"/>
        <family val="0"/>
        <charset val="1"/>
      </rPr>
      <t xml:space="preserve">Robot-ready </t>
    </r>
    <r>
      <rPr>
        <sz val="10"/>
        <color rgb="FF000000"/>
        <rFont val="WenQuanYi Zen Hei"/>
        <family val="2"/>
      </rPr>
      <t xml:space="preserve">증분가 — 유리</t>
    </r>
  </si>
  <si>
    <t xml:space="preserve">직접판매 획득비용 — 불리</t>
  </si>
  <si>
    <t xml:space="preserve">직접판매 획득비용 — 유리</t>
  </si>
  <si>
    <r>
      <rPr>
        <sz val="10"/>
        <color rgb="FF000000"/>
        <rFont val="Arial"/>
        <family val="0"/>
        <charset val="1"/>
      </rPr>
      <t xml:space="preserve">Failure Rate — </t>
    </r>
    <r>
      <rPr>
        <sz val="10"/>
        <color rgb="FF000000"/>
        <rFont val="WenQuanYi Zen Hei"/>
        <family val="2"/>
      </rPr>
      <t xml:space="preserve">불리</t>
    </r>
  </si>
  <si>
    <r>
      <rPr>
        <sz val="10"/>
        <color rgb="FF000000"/>
        <rFont val="Arial"/>
        <family val="0"/>
        <charset val="1"/>
      </rPr>
      <t xml:space="preserve">Failure Rate — </t>
    </r>
    <r>
      <rPr>
        <sz val="10"/>
        <color rgb="FF000000"/>
        <rFont val="WenQuanYi Zen Hei"/>
        <family val="2"/>
      </rPr>
      <t xml:space="preserve">유리</t>
    </r>
  </si>
  <si>
    <r>
      <rPr>
        <sz val="10"/>
        <color rgb="FF000000"/>
        <rFont val="Arial"/>
        <family val="0"/>
        <charset val="1"/>
      </rPr>
      <t xml:space="preserve">Care </t>
    </r>
    <r>
      <rPr>
        <sz val="10"/>
        <color rgb="FF000000"/>
        <rFont val="WenQuanYi Zen Hei"/>
        <family val="2"/>
      </rPr>
      <t xml:space="preserve">요금 — 불리</t>
    </r>
  </si>
  <si>
    <r>
      <rPr>
        <sz val="10"/>
        <color rgb="FF000000"/>
        <rFont val="Arial"/>
        <family val="0"/>
        <charset val="1"/>
      </rPr>
      <t xml:space="preserve">Care </t>
    </r>
    <r>
      <rPr>
        <sz val="10"/>
        <color rgb="FF000000"/>
        <rFont val="WenQuanYi Zen Hei"/>
        <family val="2"/>
      </rPr>
      <t xml:space="preserve">요금 — 유리</t>
    </r>
  </si>
  <si>
    <t xml:space="preserve">방문 원가 — 불리</t>
  </si>
  <si>
    <t xml:space="preserve">방문 원가 — 유리</t>
  </si>
  <si>
    <r>
      <rPr>
        <sz val="10"/>
        <color rgb="FF000000"/>
        <rFont val="Arial"/>
        <family val="0"/>
        <charset val="1"/>
      </rPr>
      <t xml:space="preserve">Standard Module </t>
    </r>
    <r>
      <rPr>
        <sz val="10"/>
        <color rgb="FF000000"/>
        <rFont val="WenQuanYi Zen Hei"/>
        <family val="2"/>
      </rPr>
      <t xml:space="preserve">사용률 — 불리</t>
    </r>
  </si>
  <si>
    <r>
      <rPr>
        <sz val="10"/>
        <color rgb="FF000000"/>
        <rFont val="Arial"/>
        <family val="0"/>
        <charset val="1"/>
      </rPr>
      <t xml:space="preserve">Standard Module </t>
    </r>
    <r>
      <rPr>
        <sz val="10"/>
        <color rgb="FF000000"/>
        <rFont val="WenQuanYi Zen Hei"/>
        <family val="2"/>
      </rPr>
      <t xml:space="preserve">사용률 — 유리</t>
    </r>
  </si>
  <si>
    <t xml:space="preserve">설치 원가 — 불리</t>
  </si>
  <si>
    <t xml:space="preserve">설치 원가 — 유리</t>
  </si>
  <si>
    <r>
      <rPr>
        <sz val="10"/>
        <color rgb="FF000000"/>
        <rFont val="Arial"/>
        <family val="0"/>
        <charset val="1"/>
      </rPr>
      <t xml:space="preserve">Consumables </t>
    </r>
    <r>
      <rPr>
        <sz val="10"/>
        <color rgb="FF000000"/>
        <rFont val="WenQuanYi Zen Hei"/>
        <family val="2"/>
      </rPr>
      <t xml:space="preserve">구매율 — 불리</t>
    </r>
  </si>
  <si>
    <r>
      <rPr>
        <sz val="10"/>
        <color rgb="FF000000"/>
        <rFont val="Arial"/>
        <family val="0"/>
        <charset val="1"/>
      </rPr>
      <t xml:space="preserve">Consumables </t>
    </r>
    <r>
      <rPr>
        <sz val="10"/>
        <color rgb="FF000000"/>
        <rFont val="WenQuanYi Zen Hei"/>
        <family val="2"/>
      </rPr>
      <t xml:space="preserve">구매율 — 유리</t>
    </r>
  </si>
  <si>
    <r>
      <rPr>
        <b val="true"/>
        <sz val="10"/>
        <rFont val="WenQuanYi Zen Hei"/>
        <family val="2"/>
      </rPr>
      <t xml:space="preserve">회사 </t>
    </r>
    <r>
      <rPr>
        <b val="true"/>
        <sz val="10"/>
        <rFont val="Arial"/>
        <family val="0"/>
        <charset val="1"/>
      </rPr>
      <t xml:space="preserve">Y5 Contribution </t>
    </r>
    <r>
      <rPr>
        <b val="true"/>
        <sz val="10"/>
        <rFont val="WenQuanYi Zen Hei"/>
        <family val="2"/>
      </rPr>
      <t xml:space="preserve">민감도 </t>
    </r>
    <r>
      <rPr>
        <b val="true"/>
        <sz val="10"/>
        <rFont val="Arial"/>
        <family val="0"/>
        <charset val="1"/>
      </rPr>
      <t xml:space="preserve">(Base, </t>
    </r>
    <r>
      <rPr>
        <b val="true"/>
        <sz val="10"/>
        <rFont val="WenQuanYi Zen Hei"/>
        <family val="2"/>
      </rPr>
      <t xml:space="preserve">만원</t>
    </r>
    <r>
      <rPr>
        <b val="true"/>
        <sz val="10"/>
        <rFont val="Arial"/>
        <family val="0"/>
        <charset val="1"/>
      </rPr>
      <t xml:space="preserve">) — STATIC SNAPSHOT: model.py sens_company() </t>
    </r>
    <r>
      <rPr>
        <b val="true"/>
        <sz val="10"/>
        <rFont val="WenQuanYi Zen Hei"/>
        <family val="2"/>
      </rPr>
      <t xml:space="preserve">결과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WenQuanYi Zen Hei"/>
        <family val="2"/>
      </rPr>
      <t xml:space="preserve">입력 변경 시 </t>
    </r>
    <r>
      <rPr>
        <b val="true"/>
        <sz val="10"/>
        <rFont val="Arial"/>
        <family val="0"/>
        <charset val="1"/>
      </rPr>
      <t xml:space="preserve">model.py </t>
    </r>
    <r>
      <rPr>
        <b val="true"/>
        <sz val="10"/>
        <rFont val="WenQuanYi Zen Hei"/>
        <family val="2"/>
      </rPr>
      <t xml:space="preserve">재실행 필요</t>
    </r>
  </si>
  <si>
    <r>
      <rPr>
        <b val="true"/>
        <sz val="10"/>
        <color rgb="FFFFFFFF"/>
        <rFont val="WenQuanYi Zen Hei"/>
        <family val="2"/>
      </rPr>
      <t xml:space="preserve">변수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불리 ↔ 유리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</si>
  <si>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불리 </t>
    </r>
    <r>
      <rPr>
        <b val="true"/>
        <sz val="10"/>
        <color rgb="FFFFFFFF"/>
        <rFont val="Arial"/>
        <family val="0"/>
        <charset val="1"/>
      </rPr>
      <t xml:space="preserve">Δ</t>
    </r>
  </si>
  <si>
    <r>
      <rPr>
        <b val="true"/>
        <sz val="10"/>
        <color rgb="FFFFFFFF"/>
        <rFont val="WenQuanYi Zen Hei"/>
        <family val="2"/>
      </rPr>
      <t xml:space="preserve">유리 </t>
    </r>
    <r>
      <rPr>
        <b val="true"/>
        <sz val="10"/>
        <color rgb="FFFFFFFF"/>
        <rFont val="Arial"/>
        <family val="0"/>
        <charset val="1"/>
      </rPr>
      <t xml:space="preserve">Δ</t>
    </r>
  </si>
  <si>
    <t xml:space="preserve">Base Y5 Contribution</t>
  </si>
  <si>
    <r>
      <rPr>
        <sz val="10"/>
        <color rgb="FF000000"/>
        <rFont val="Arial"/>
        <family val="0"/>
        <charset val="1"/>
      </rPr>
      <t xml:space="preserve">Customer WTP (Robot ASP·</t>
    </r>
    <r>
      <rPr>
        <sz val="10"/>
        <color rgb="FF000000"/>
        <rFont val="WenQuanYi Zen Hei"/>
        <family val="2"/>
      </rPr>
      <t xml:space="preserve">증분가 </t>
    </r>
    <r>
      <rPr>
        <sz val="10"/>
        <color rgb="FF000000"/>
        <rFont val="Arial"/>
        <family val="0"/>
        <charset val="1"/>
      </rPr>
      <t xml:space="preserve">±20%)</t>
    </r>
  </si>
  <si>
    <t xml:space="preserve">Robot BOM ±20%</t>
  </si>
  <si>
    <r>
      <rPr>
        <sz val="10"/>
        <color rgb="FF000000"/>
        <rFont val="Arial"/>
        <family val="0"/>
        <charset val="1"/>
      </rPr>
      <t xml:space="preserve">Partner </t>
    </r>
    <r>
      <rPr>
        <sz val="10"/>
        <color rgb="FF000000"/>
        <rFont val="WenQuanYi Zen Hei"/>
        <family val="2"/>
      </rPr>
      <t xml:space="preserve">경유 </t>
    </r>
    <r>
      <rPr>
        <sz val="10"/>
        <color rgb="FF000000"/>
        <rFont val="Arial"/>
        <family val="0"/>
        <charset val="1"/>
      </rPr>
      <t xml:space="preserve">Kitchen ±30%</t>
    </r>
  </si>
  <si>
    <t xml:space="preserve">Robot Attach Rate 65% ↔ 95%</t>
  </si>
  <si>
    <r>
      <rPr>
        <sz val="10"/>
        <color rgb="FF000000"/>
        <rFont val="Arial"/>
        <family val="0"/>
        <charset val="1"/>
      </rPr>
      <t xml:space="preserve">Failure Rate 0.3 ↔ 1.2</t>
    </r>
    <r>
      <rPr>
        <sz val="10"/>
        <color rgb="FF000000"/>
        <rFont val="WenQuanYi Zen Hei"/>
        <family val="2"/>
      </rPr>
      <t xml:space="preserve">회</t>
    </r>
  </si>
  <si>
    <r>
      <rPr>
        <sz val="10"/>
        <color rgb="FF000000"/>
        <rFont val="Arial"/>
        <family val="0"/>
        <charset val="1"/>
      </rPr>
      <t xml:space="preserve">Rental </t>
    </r>
    <r>
      <rPr>
        <sz val="10"/>
        <color rgb="FF000000"/>
        <rFont val="WenQuanYi Zen Hei"/>
        <family val="2"/>
      </rPr>
      <t xml:space="preserve">비중 </t>
    </r>
    <r>
      <rPr>
        <sz val="10"/>
        <color rgb="FF000000"/>
        <rFont val="Arial"/>
        <family val="0"/>
        <charset val="1"/>
      </rPr>
      <t xml:space="preserve">20% ↔ 60%</t>
    </r>
  </si>
  <si>
    <r>
      <rPr>
        <sz val="10"/>
        <color rgb="FF000000"/>
        <rFont val="Arial"/>
        <family val="0"/>
        <charset val="1"/>
      </rPr>
      <t xml:space="preserve">Standard Module </t>
    </r>
    <r>
      <rPr>
        <sz val="10"/>
        <color rgb="FF000000"/>
        <rFont val="WenQuanYi Zen Hei"/>
        <family val="2"/>
      </rPr>
      <t xml:space="preserve">사용률 </t>
    </r>
    <r>
      <rPr>
        <sz val="10"/>
        <color rgb="FF000000"/>
        <rFont val="Arial"/>
        <family val="0"/>
        <charset val="1"/>
      </rPr>
      <t xml:space="preserve">-15pp/+10pp</t>
    </r>
  </si>
  <si>
    <r>
      <rPr>
        <sz val="10"/>
        <color rgb="FF000000"/>
        <rFont val="WenQuanYi Zen Hei"/>
        <family val="2"/>
      </rPr>
      <t xml:space="preserve">신축 </t>
    </r>
    <r>
      <rPr>
        <sz val="10"/>
        <color rgb="FF000000"/>
        <rFont val="Arial"/>
        <family val="0"/>
        <charset val="1"/>
      </rPr>
      <t xml:space="preserve">Option </t>
    </r>
    <r>
      <rPr>
        <sz val="10"/>
        <color rgb="FF000000"/>
        <rFont val="WenQuanYi Zen Hei"/>
        <family val="2"/>
      </rPr>
      <t xml:space="preserve">선택률 </t>
    </r>
    <r>
      <rPr>
        <sz val="10"/>
        <color rgb="FF000000"/>
        <rFont val="Arial"/>
        <family val="0"/>
        <charset val="1"/>
      </rPr>
      <t xml:space="preserve">5% ↔ 15%</t>
    </r>
  </si>
  <si>
    <r>
      <rPr>
        <sz val="10"/>
        <color rgb="FF000000"/>
        <rFont val="WenQuanYi Zen Hei"/>
        <family val="2"/>
      </rPr>
      <t xml:space="preserve">설치 원가 </t>
    </r>
    <r>
      <rPr>
        <sz val="10"/>
        <color rgb="FF000000"/>
        <rFont val="Arial"/>
        <family val="0"/>
        <charset val="1"/>
      </rPr>
      <t xml:space="preserve">±50%</t>
    </r>
  </si>
  <si>
    <r>
      <rPr>
        <sz val="10"/>
        <color rgb="FF000000"/>
        <rFont val="Arial"/>
        <family val="0"/>
        <charset val="1"/>
      </rPr>
      <t xml:space="preserve">Service </t>
    </r>
    <r>
      <rPr>
        <sz val="10"/>
        <color rgb="FF000000"/>
        <rFont val="WenQuanYi Zen Hei"/>
        <family val="2"/>
      </rPr>
      <t xml:space="preserve">원가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방문</t>
    </r>
    <r>
      <rPr>
        <sz val="10"/>
        <color rgb="FF000000"/>
        <rFont val="Arial"/>
        <family val="0"/>
        <charset val="1"/>
      </rPr>
      <t xml:space="preserve">) ±30%</t>
    </r>
  </si>
  <si>
    <r>
      <rPr>
        <b val="true"/>
        <sz val="14"/>
        <rFont val="Arial"/>
        <family val="0"/>
        <charset val="1"/>
      </rPr>
      <t xml:space="preserve">TIPS </t>
    </r>
    <r>
      <rPr>
        <b val="true"/>
        <sz val="14"/>
        <rFont val="WenQuanYi Zen Hei"/>
        <family val="2"/>
      </rPr>
      <t xml:space="preserve">기간 </t>
    </r>
    <r>
      <rPr>
        <b val="true"/>
        <sz val="14"/>
        <rFont val="Arial"/>
        <family val="0"/>
        <charset val="1"/>
      </rPr>
      <t xml:space="preserve">24</t>
    </r>
    <r>
      <rPr>
        <b val="true"/>
        <sz val="14"/>
        <rFont val="WenQuanYi Zen Hei"/>
        <family val="2"/>
      </rPr>
      <t xml:space="preserve">개월 자금 계획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만원</t>
    </r>
    <r>
      <rPr>
        <b val="true"/>
        <sz val="14"/>
        <rFont val="Arial"/>
        <family val="0"/>
        <charset val="1"/>
      </rPr>
      <t xml:space="preserve">) — </t>
    </r>
    <r>
      <rPr>
        <b val="true"/>
        <sz val="14"/>
        <rFont val="WenQuanYi Zen Hei"/>
        <family val="2"/>
      </rPr>
      <t xml:space="preserve">회사 전체 지출 </t>
    </r>
    <r>
      <rPr>
        <b val="true"/>
        <sz val="14"/>
        <rFont val="Arial"/>
        <family val="0"/>
        <charset val="1"/>
      </rPr>
      <t xml:space="preserve">· TIPS </t>
    </r>
    <r>
      <rPr>
        <b val="true"/>
        <sz val="14"/>
        <rFont val="WenQuanYi Zen Hei"/>
        <family val="2"/>
      </rPr>
      <t xml:space="preserve">과제 예산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재원</t>
    </r>
  </si>
  <si>
    <r>
      <rPr>
        <b val="true"/>
        <sz val="10"/>
        <color rgb="FFFFFFFF"/>
        <rFont val="Arial"/>
        <family val="0"/>
        <charset val="1"/>
      </rPr>
      <t xml:space="preserve">A. </t>
    </r>
    <r>
      <rPr>
        <b val="true"/>
        <sz val="10"/>
        <color rgb="FFFFFFFF"/>
        <rFont val="WenQuanYi Zen Hei"/>
        <family val="2"/>
      </rPr>
      <t xml:space="preserve">회사 전체 지출 </t>
    </r>
    <r>
      <rPr>
        <b val="true"/>
        <sz val="10"/>
        <color rgb="FFFFFFFF"/>
        <rFont val="Arial"/>
        <family val="0"/>
        <charset val="1"/>
      </rPr>
      <t xml:space="preserve">(FM_Base </t>
    </r>
    <r>
      <rPr>
        <b val="true"/>
        <sz val="10"/>
        <color rgb="FFFFFFFF"/>
        <rFont val="WenQuanYi Zen Hei"/>
        <family val="2"/>
      </rPr>
      <t xml:space="preserve">연동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</si>
  <si>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평균 인원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인당 인건비</t>
    </r>
  </si>
  <si>
    <r>
      <rPr>
        <sz val="10"/>
        <color rgb="FF000000"/>
        <rFont val="WenQuanYi Zen Hei"/>
        <family val="2"/>
      </rPr>
      <t xml:space="preserve">그 밖의 운영비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시제품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공간 </t>
    </r>
    <r>
      <rPr>
        <sz val="10"/>
        <color rgb="FF000000"/>
        <rFont val="Arial"/>
        <family val="0"/>
        <charset val="1"/>
      </rPr>
      <t xml:space="preserve">· SW · </t>
    </r>
    <r>
      <rPr>
        <sz val="10"/>
        <color rgb="FF000000"/>
        <rFont val="WenQuanYi Zen Hei"/>
        <family val="2"/>
      </rPr>
      <t xml:space="preserve">시험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특허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고객 검증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관리</t>
    </r>
    <r>
      <rPr>
        <sz val="10"/>
        <color rgb="FF000000"/>
        <rFont val="Arial"/>
        <family val="0"/>
        <charset val="1"/>
      </rPr>
      <t xml:space="preserve">)</t>
    </r>
  </si>
  <si>
    <t xml:space="preserve">Inputs_Yearly</t>
  </si>
  <si>
    <r>
      <rPr>
        <sz val="10"/>
        <color rgb="FF000000"/>
        <rFont val="WenQuanYi Zen Hei"/>
        <family val="2"/>
      </rPr>
      <t xml:space="preserve">실증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판매 관련 순비용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실증 매출총손실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획득비용 </t>
    </r>
    <r>
      <rPr>
        <sz val="10"/>
        <color rgb="FF000000"/>
        <rFont val="Arial"/>
        <family val="0"/>
        <charset val="1"/>
      </rPr>
      <t xml:space="preserve">· Rental </t>
    </r>
    <r>
      <rPr>
        <sz val="10"/>
        <color rgb="FF000000"/>
        <rFont val="WenQuanYi Zen Hei"/>
        <family val="2"/>
      </rPr>
      <t xml:space="preserve">자산 − 감가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</si>
  <si>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−현금흐름 − </t>
    </r>
    <r>
      <rPr>
        <sz val="10"/>
        <color rgb="FF000000"/>
        <rFont val="Arial"/>
        <family val="0"/>
        <charset val="1"/>
      </rPr>
      <t xml:space="preserve">Opex</t>
    </r>
  </si>
  <si>
    <r>
      <rPr>
        <b val="true"/>
        <sz val="10"/>
        <rFont val="WenQuanYi Zen Hei"/>
        <family val="2"/>
      </rPr>
      <t xml:space="preserve">회사 전체 지출 합계 </t>
    </r>
    <r>
      <rPr>
        <b val="true"/>
        <sz val="10"/>
        <rFont val="Arial"/>
        <family val="0"/>
        <charset val="1"/>
      </rPr>
      <t xml:space="preserve">(= −</t>
    </r>
    <r>
      <rPr>
        <b val="true"/>
        <sz val="10"/>
        <rFont val="WenQuanYi Zen Hei"/>
        <family val="2"/>
      </rPr>
      <t xml:space="preserve">현금흐름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</si>
  <si>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B. TIPS </t>
    </r>
    <r>
      <rPr>
        <b val="true"/>
        <sz val="10"/>
        <color rgb="FFFFFFFF"/>
        <rFont val="WenQuanYi Zen Hei"/>
        <family val="2"/>
      </rPr>
      <t xml:space="preserve">과제 예산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비목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내용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현금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현물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</si>
  <si>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차년도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</si>
  <si>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차년도</t>
    </r>
  </si>
  <si>
    <t xml:space="preserve">근거</t>
  </si>
  <si>
    <r>
      <rPr>
        <sz val="10"/>
        <color rgb="FF000000"/>
        <rFont val="WenQuanYi Zen Hei"/>
        <family val="2"/>
      </rPr>
      <t xml:space="preserve">인건비 — 신규 연구원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명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참여율 </t>
    </r>
    <r>
      <rPr>
        <sz val="10"/>
        <color rgb="FF000000"/>
        <rFont val="Arial"/>
        <family val="0"/>
        <charset val="1"/>
      </rPr>
      <t xml:space="preserve">50~80%) [</t>
    </r>
    <r>
      <rPr>
        <sz val="10"/>
        <color rgb="FF000000"/>
        <rFont val="WenQuanYi Zen Hei"/>
        <family val="2"/>
      </rPr>
      <t xml:space="preserve">현금</t>
    </r>
    <r>
      <rPr>
        <sz val="10"/>
        <color rgb="FF000000"/>
        <rFont val="Arial"/>
        <family val="0"/>
        <charset val="1"/>
      </rPr>
      <t xml:space="preserve">]</t>
    </r>
  </si>
  <si>
    <t xml:space="preserve">model.py TIPS_TEAM · TIPS_OTHER · TIPS_YEAR (ASSUMPTION)</t>
  </si>
  <si>
    <r>
      <rPr>
        <sz val="10"/>
        <color rgb="FF000000"/>
        <rFont val="WenQuanYi Zen Hei"/>
        <family val="2"/>
      </rPr>
      <t xml:space="preserve">인건비 — 대표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과제책임자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참여율 </t>
    </r>
    <r>
      <rPr>
        <sz val="10"/>
        <color rgb="FF000000"/>
        <rFont val="Arial"/>
        <family val="0"/>
        <charset val="1"/>
      </rPr>
      <t xml:space="preserve">50%) [</t>
    </r>
    <r>
      <rPr>
        <sz val="10"/>
        <color rgb="FF000000"/>
        <rFont val="WenQuanYi Zen Hei"/>
        <family val="2"/>
      </rPr>
      <t xml:space="preserve">현물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</si>
  <si>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10"/>
        <color rgb="FF000000"/>
        <rFont val="WenQuanYi Zen Hei"/>
        <family val="2"/>
      </rPr>
      <t xml:space="preserve">연구재료비 — 시제품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차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식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실물 크기 목업 주방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식 </t>
    </r>
    <r>
      <rPr>
        <sz val="10"/>
        <color rgb="FF000000"/>
        <rFont val="Arial"/>
        <family val="0"/>
        <charset val="1"/>
      </rPr>
      <t xml:space="preserve">(Y1) / </t>
    </r>
    <r>
      <rPr>
        <sz val="10"/>
        <color rgb="FF000000"/>
        <rFont val="WenQuanYi Zen Hei"/>
        <family val="2"/>
      </rPr>
      <t xml:space="preserve">실증용 하드웨어 </t>
    </r>
    <r>
      <rPr>
        <sz val="10"/>
        <color rgb="FF000000"/>
        <rFont val="Arial"/>
        <family val="0"/>
        <charset val="1"/>
      </rPr>
      <t xml:space="preserve">· 2</t>
    </r>
    <r>
      <rPr>
        <sz val="10"/>
        <color rgb="FF000000"/>
        <rFont val="WenQuanYi Zen Hei"/>
        <family val="2"/>
      </rPr>
      <t xml:space="preserve">차 개선 부품 </t>
    </r>
    <r>
      <rPr>
        <sz val="10"/>
        <color rgb="FF000000"/>
        <rFont val="Arial"/>
        <family val="0"/>
        <charset val="1"/>
      </rPr>
      <t xml:space="preserve">(Y2) [</t>
    </r>
    <r>
      <rPr>
        <sz val="10"/>
        <color rgb="FF000000"/>
        <rFont val="WenQuanYi Zen Hei"/>
        <family val="2"/>
      </rPr>
      <t xml:space="preserve">현금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</si>
  <si>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10"/>
        <color rgb="FF000000"/>
        <rFont val="WenQuanYi Zen Hei"/>
        <family val="2"/>
      </rPr>
      <t xml:space="preserve">연구활동비 — 외주 가공 </t>
    </r>
    <r>
      <rPr>
        <sz val="10"/>
        <color rgb="FF000000"/>
        <rFont val="Arial"/>
        <family val="0"/>
        <charset val="1"/>
      </rPr>
      <t xml:space="preserve">· SW · </t>
    </r>
    <r>
      <rPr>
        <sz val="10"/>
        <color rgb="FF000000"/>
        <rFont val="WenQuanYi Zen Hei"/>
        <family val="2"/>
      </rPr>
      <t xml:space="preserve">연구실 운영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특허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건 </t>
    </r>
    <r>
      <rPr>
        <sz val="10"/>
        <color rgb="FF000000"/>
        <rFont val="Arial"/>
        <family val="0"/>
        <charset val="1"/>
      </rPr>
      <t xml:space="preserve">(Y1) / </t>
    </r>
    <r>
      <rPr>
        <sz val="10"/>
        <color rgb="FF000000"/>
        <rFont val="WenQuanYi Zen Hei"/>
        <family val="2"/>
      </rPr>
      <t xml:space="preserve">공인시험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안전 사전시험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특허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건 </t>
    </r>
    <r>
      <rPr>
        <sz val="10"/>
        <color rgb="FF000000"/>
        <rFont val="Arial"/>
        <family val="0"/>
        <charset val="1"/>
      </rPr>
      <t xml:space="preserve">(Y2) [</t>
    </r>
    <r>
      <rPr>
        <sz val="10"/>
        <color rgb="FF000000"/>
        <rFont val="WenQuanYi Zen Hei"/>
        <family val="2"/>
      </rPr>
      <t xml:space="preserve">현금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</si>
  <si>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10"/>
        <color rgb="FF000000"/>
        <rFont val="WenQuanYi Zen Hei"/>
        <family val="2"/>
      </rPr>
      <t xml:space="preserve">연구수당 — 참여 연구원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인건비 대비 약 </t>
    </r>
    <r>
      <rPr>
        <sz val="10"/>
        <color rgb="FF000000"/>
        <rFont val="Arial"/>
        <family val="0"/>
        <charset val="1"/>
      </rPr>
      <t xml:space="preserve">5%) [</t>
    </r>
    <r>
      <rPr>
        <sz val="10"/>
        <color rgb="FF000000"/>
        <rFont val="WenQuanYi Zen Hei"/>
        <family val="2"/>
      </rPr>
      <t xml:space="preserve">현금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</si>
  <si>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10"/>
        <color rgb="FF000000"/>
        <rFont val="WenQuanYi Zen Hei"/>
        <family val="2"/>
      </rPr>
      <t xml:space="preserve">간접비 — 연구개발 지원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성과활용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직접비 대비</t>
    </r>
    <r>
      <rPr>
        <sz val="10"/>
        <color rgb="FF000000"/>
        <rFont val="Arial"/>
        <family val="0"/>
        <charset val="1"/>
      </rPr>
      <t xml:space="preserve">) [</t>
    </r>
    <r>
      <rPr>
        <sz val="10"/>
        <color rgb="FF000000"/>
        <rFont val="WenQuanYi Zen Hei"/>
        <family val="2"/>
      </rPr>
      <t xml:space="preserve">현금</t>
    </r>
    <r>
      <rPr>
        <sz val="10"/>
        <color rgb="FF000000"/>
        <rFont val="Arial"/>
        <family val="0"/>
        <charset val="1"/>
      </rPr>
      <t xml:space="preserve">]</t>
    </r>
  </si>
  <si>
    <r>
      <rPr>
        <b val="true"/>
        <sz val="10"/>
        <rFont val="Arial"/>
        <family val="0"/>
        <charset val="1"/>
      </rPr>
      <t xml:space="preserve">TIPS </t>
    </r>
    <r>
      <rPr>
        <b val="true"/>
        <sz val="10"/>
        <rFont val="WenQuanYi Zen Hei"/>
        <family val="2"/>
      </rPr>
      <t xml:space="preserve">과제 예산 합계</t>
    </r>
  </si>
  <si>
    <r>
      <rPr>
        <sz val="10"/>
        <color rgb="FF000000"/>
        <rFont val="WenQuanYi Zen Hei"/>
        <family val="2"/>
      </rPr>
      <t xml:space="preserve">정부지원금 </t>
    </r>
    <r>
      <rPr>
        <sz val="10"/>
        <color rgb="FF000000"/>
        <rFont val="Arial"/>
        <family val="0"/>
        <charset val="1"/>
      </rPr>
      <t xml:space="preserve">(Inputs)</t>
    </r>
  </si>
  <si>
    <r>
      <rPr>
        <sz val="10"/>
        <color rgb="FF000000"/>
        <rFont val="WenQuanYi Zen Hei"/>
        <family val="2"/>
      </rPr>
      <t xml:space="preserve">정부지원 비율 </t>
    </r>
    <r>
      <rPr>
        <sz val="10"/>
        <color rgb="FF000000"/>
        <rFont val="Arial"/>
        <family val="0"/>
        <charset val="1"/>
      </rPr>
      <t xml:space="preserve">(= </t>
    </r>
    <r>
      <rPr>
        <sz val="10"/>
        <color rgb="FF000000"/>
        <rFont val="WenQuanYi Zen Hei"/>
        <family val="2"/>
      </rPr>
      <t xml:space="preserve">정부지원금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과제 합계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</si>
  <si>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상한 </t>
    </r>
    <r>
      <rPr>
        <sz val="10"/>
        <color rgb="FF000000"/>
        <rFont val="Arial"/>
        <family val="0"/>
        <charset val="1"/>
      </rPr>
      <t xml:space="preserve">= Inputs tips_gov_ratio</t>
    </r>
  </si>
  <si>
    <r>
      <rPr>
        <sz val="10"/>
        <color rgb="FF000000"/>
        <rFont val="WenQuanYi Zen Hei"/>
        <family val="2"/>
      </rPr>
      <t xml:space="preserve">정부지원 비율 상한 충족 </t>
    </r>
    <r>
      <rPr>
        <sz val="10"/>
        <color rgb="FF000000"/>
        <rFont val="Arial"/>
        <family val="0"/>
        <charset val="1"/>
      </rPr>
      <t xml:space="preserve">(1 = 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</si>
  <si>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민간부담 </t>
    </r>
    <r>
      <rPr>
        <sz val="10"/>
        <color rgb="FF000000"/>
        <rFont val="Arial"/>
        <family val="0"/>
        <charset val="1"/>
      </rPr>
      <t xml:space="preserve">(= </t>
    </r>
    <r>
      <rPr>
        <sz val="10"/>
        <color rgb="FF000000"/>
        <rFont val="WenQuanYi Zen Hei"/>
        <family val="2"/>
      </rPr>
      <t xml:space="preserve">과제 합계 − 정부지원금</t>
    </r>
    <r>
      <rPr>
        <sz val="10"/>
        <color rgb="FF000000"/>
        <rFont val="Arial"/>
        <family val="0"/>
        <charset val="1"/>
      </rPr>
      <t xml:space="preserve">)</t>
    </r>
  </si>
  <si>
    <t xml:space="preserve">민간부담 중 현물</t>
  </si>
  <si>
    <t xml:space="preserve">대표 인건비 참여분</t>
  </si>
  <si>
    <t xml:space="preserve">민간부담 중 현금</t>
  </si>
  <si>
    <r>
      <rPr>
        <sz val="10"/>
        <color rgb="FF000000"/>
        <rFont val="WenQuanYi Zen Hei"/>
        <family val="2"/>
      </rPr>
      <t xml:space="preserve">민간 현금 비율 하한 충족 </t>
    </r>
    <r>
      <rPr>
        <sz val="10"/>
        <color rgb="FF000000"/>
        <rFont val="Arial"/>
        <family val="0"/>
        <charset val="1"/>
      </rPr>
      <t xml:space="preserve">(1 = 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</si>
  <si>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기관부담 중 현금 ≥ </t>
    </r>
    <r>
      <rPr>
        <sz val="10"/>
        <color rgb="FF000000"/>
        <rFont val="Arial"/>
        <family val="0"/>
        <charset val="1"/>
      </rPr>
      <t xml:space="preserve">Inputs tips_cash_ratio</t>
    </r>
  </si>
  <si>
    <r>
      <rPr>
        <b val="true"/>
        <sz val="10"/>
        <color rgb="FFFFFFFF"/>
        <rFont val="Arial"/>
        <family val="0"/>
        <charset val="1"/>
      </rPr>
      <t xml:space="preserve">C. </t>
    </r>
    <r>
      <rPr>
        <b val="true"/>
        <sz val="10"/>
        <color rgb="FFFFFFFF"/>
        <rFont val="WenQuanYi Zen Hei"/>
        <family val="2"/>
      </rPr>
      <t xml:space="preserve">재원 </t>
    </r>
    <r>
      <rPr>
        <b val="true"/>
        <sz val="10"/>
        <color rgb="FFFFFFFF"/>
        <rFont val="Arial"/>
        <family val="0"/>
        <charset val="1"/>
      </rPr>
      <t xml:space="preserve">vs </t>
    </r>
    <r>
      <rPr>
        <b val="true"/>
        <sz val="10"/>
        <color rgb="FFFFFFFF"/>
        <rFont val="WenQuanYi Zen Hei"/>
        <family val="2"/>
      </rPr>
      <t xml:space="preserve">지출 </t>
    </r>
    <r>
      <rPr>
        <b val="true"/>
        <sz val="10"/>
        <color rgb="FFFFFFFF"/>
        <rFont val="Arial"/>
        <family val="0"/>
        <charset val="1"/>
      </rPr>
      <t xml:space="preserve">(24</t>
    </r>
    <r>
      <rPr>
        <b val="true"/>
        <sz val="10"/>
        <color rgb="FFFFFFFF"/>
        <rFont val="WenQuanYi Zen Hei"/>
        <family val="2"/>
      </rPr>
      <t xml:space="preserve">개월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</si>
  <si>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금액</t>
  </si>
  <si>
    <t xml:space="preserve">비고</t>
  </si>
  <si>
    <r>
      <rPr>
        <sz val="10"/>
        <color rgb="FF000000"/>
        <rFont val="Arial"/>
        <family val="0"/>
        <charset val="1"/>
      </rPr>
      <t xml:space="preserve">TIPS R&amp;D </t>
    </r>
    <r>
      <rPr>
        <sz val="10"/>
        <color rgb="FF000000"/>
        <rFont val="WenQuanYi Zen Hei"/>
        <family val="2"/>
      </rPr>
      <t xml:space="preserve">정부지원금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선정 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</si>
  <si>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FACT (2026 </t>
    </r>
    <r>
      <rPr>
        <sz val="10"/>
        <color rgb="FF000000"/>
        <rFont val="WenQuanYi Zen Hei"/>
        <family val="2"/>
      </rPr>
      <t xml:space="preserve">공고 최대</t>
    </r>
    <r>
      <rPr>
        <sz val="10"/>
        <color rgb="FF000000"/>
        <rFont val="Arial"/>
        <family val="0"/>
        <charset val="1"/>
      </rPr>
      <t xml:space="preserve">) · </t>
    </r>
    <r>
      <rPr>
        <sz val="10"/>
        <color rgb="FF000000"/>
        <rFont val="WenQuanYi Zen Hei"/>
        <family val="2"/>
      </rPr>
      <t xml:space="preserve">선정 미확정</t>
    </r>
  </si>
  <si>
    <r>
      <rPr>
        <sz val="10"/>
        <color rgb="FF000000"/>
        <rFont val="WenQuanYi Zen Hei"/>
        <family val="2"/>
      </rPr>
      <t xml:space="preserve">운영사 투자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요청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</si>
  <si>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후속 투자 </t>
    </r>
    <r>
      <rPr>
        <sz val="10"/>
        <color rgb="FF000000"/>
        <rFont val="Arial"/>
        <family val="0"/>
        <charset val="1"/>
      </rPr>
      <t xml:space="preserve">(M12 </t>
    </r>
    <r>
      <rPr>
        <sz val="10"/>
        <color rgb="FF000000"/>
        <rFont val="WenQuanYi Zen Hei"/>
        <family val="2"/>
      </rPr>
      <t xml:space="preserve">목표</t>
    </r>
    <r>
      <rPr>
        <sz val="10"/>
        <color rgb="FF000000"/>
        <rFont val="Arial"/>
        <family val="0"/>
        <charset val="1"/>
      </rPr>
      <t xml:space="preserve">)</t>
    </r>
  </si>
  <si>
    <t xml:space="preserve">재원 합계</t>
  </si>
  <si>
    <r>
      <rPr>
        <sz val="10"/>
        <color rgb="FF000000"/>
        <rFont val="WenQuanYi Zen Hei"/>
        <family val="2"/>
      </rPr>
      <t xml:space="preserve">회사 전체 지출 </t>
    </r>
    <r>
      <rPr>
        <sz val="10"/>
        <color rgb="FF000000"/>
        <rFont val="Arial"/>
        <family val="0"/>
        <charset val="1"/>
      </rPr>
      <t xml:space="preserve">(A)</t>
    </r>
  </si>
  <si>
    <r>
      <rPr>
        <b val="true"/>
        <sz val="10"/>
        <rFont val="WenQuanYi Zen Hei"/>
        <family val="2"/>
      </rPr>
      <t xml:space="preserve">여유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재원 − 지출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</si>
  <si>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과제 밖 지출 </t>
    </r>
    <r>
      <rPr>
        <sz val="10"/>
        <color rgb="FF000000"/>
        <rFont val="Arial"/>
        <family val="0"/>
        <charset val="1"/>
      </rPr>
      <t xml:space="preserve">(A − B)</t>
    </r>
  </si>
  <si>
    <r>
      <rPr>
        <sz val="10"/>
        <color rgb="FF000000"/>
        <rFont val="WenQuanYi Zen Hei"/>
        <family val="2"/>
      </rPr>
      <t xml:space="preserve">인건비 일부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관리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고객 조사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실증 순비용</t>
    </r>
  </si>
  <si>
    <r>
      <rPr>
        <sz val="10"/>
        <color rgb="FF000000"/>
        <rFont val="WenQuanYi Zen Hei"/>
        <family val="2"/>
      </rPr>
      <t xml:space="preserve">회사 부담 필요액 </t>
    </r>
    <r>
      <rPr>
        <sz val="10"/>
        <color rgb="FF000000"/>
        <rFont val="Arial"/>
        <family val="0"/>
        <charset val="1"/>
      </rPr>
      <t xml:space="preserve">(A − </t>
    </r>
    <r>
      <rPr>
        <sz val="10"/>
        <color rgb="FF000000"/>
        <rFont val="WenQuanYi Zen Hei"/>
        <family val="2"/>
      </rPr>
      <t xml:space="preserve">정부지원금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</si>
  <si>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운영사 투자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후속 투자로 충당</t>
    </r>
  </si>
  <si>
    <r>
      <rPr>
        <sz val="10"/>
        <color rgb="FF000000"/>
        <rFont val="WenQuanYi Zen Hei"/>
        <family val="2"/>
      </rPr>
      <t xml:space="preserve">후속 투자 없을 때 자금 지속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개월</t>
    </r>
    <r>
      <rPr>
        <sz val="10"/>
        <color rgb="FF000000"/>
        <rFont val="Arial"/>
        <family val="0"/>
        <charset val="1"/>
      </rPr>
      <t xml:space="preserve">) — STATIC: model.py tips_plan()</t>
    </r>
  </si>
  <si>
    <r>
      <rPr>
        <sz val="10"/>
        <color rgb="FF000000"/>
        <rFont val="WenQuanYi Zen Hei"/>
        <family val="2"/>
      </rPr>
      <t xml:space="preserve">정부지원금 연차 초 지급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월 지출 균등 가정</t>
    </r>
  </si>
  <si>
    <r>
      <rPr>
        <b val="true"/>
        <sz val="14"/>
        <rFont val="Arial"/>
        <family val="0"/>
        <charset val="1"/>
      </rPr>
      <t xml:space="preserve">FACT Sources (</t>
    </r>
    <r>
      <rPr>
        <b val="true"/>
        <sz val="14"/>
        <rFont val="WenQuanYi Zen Hei"/>
        <family val="2"/>
      </rPr>
      <t xml:space="preserve">조회일 </t>
    </r>
    <r>
      <rPr>
        <b val="true"/>
        <sz val="14"/>
        <rFont val="Arial"/>
        <family val="0"/>
        <charset val="1"/>
      </rPr>
      <t xml:space="preserve">2026-10-07, </t>
    </r>
    <r>
      <rPr>
        <b val="true"/>
        <sz val="14"/>
        <rFont val="WenQuanYi Zen Hei"/>
        <family val="2"/>
      </rPr>
      <t xml:space="preserve">검색 결과 기준 — 외부 제출 전 원문 재확인 필요</t>
    </r>
    <r>
      <rPr>
        <b val="true"/>
        <sz val="14"/>
        <rFont val="Arial"/>
        <family val="0"/>
        <charset val="1"/>
      </rPr>
      <t xml:space="preserve">)</t>
    </r>
  </si>
  <si>
    <t xml:space="preserve">기준</t>
  </si>
  <si>
    <t xml:space="preserve">Source</t>
  </si>
  <si>
    <r>
      <rPr>
        <sz val="10"/>
        <color rgb="FF000000"/>
        <rFont val="WenQuanYi Zen Hei"/>
        <family val="2"/>
      </rPr>
      <t xml:space="preserve">총주택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아파트 비중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준공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·30</t>
    </r>
    <r>
      <rPr>
        <sz val="10"/>
        <color rgb="FF000000"/>
        <rFont val="WenQuanYi Zen Hei"/>
        <family val="2"/>
      </rPr>
      <t xml:space="preserve">년 이상 비중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미거주 주택</t>
    </r>
  </si>
  <si>
    <r>
      <rPr>
        <sz val="10"/>
        <color rgb="FF000000"/>
        <rFont val="Arial"/>
        <family val="0"/>
        <charset val="1"/>
      </rPr>
      <t xml:space="preserve">2,018.1</t>
    </r>
    <r>
      <rPr>
        <sz val="10"/>
        <color rgb="FF000000"/>
        <rFont val="WenQuanYi Zen Hei"/>
        <family val="2"/>
      </rPr>
      <t xml:space="preserve">만호 </t>
    </r>
    <r>
      <rPr>
        <sz val="10"/>
        <color rgb="FF000000"/>
        <rFont val="Arial"/>
        <family val="0"/>
        <charset val="1"/>
      </rPr>
      <t xml:space="preserve">/ 65.8% / 56.0%·30.6% / 172.2</t>
    </r>
    <r>
      <rPr>
        <sz val="10"/>
        <color rgb="FF000000"/>
        <rFont val="WenQuanYi Zen Hei"/>
        <family val="2"/>
      </rPr>
      <t xml:space="preserve">만호</t>
    </r>
  </si>
  <si>
    <r>
      <rPr>
        <sz val="10"/>
        <color rgb="FF000000"/>
        <rFont val="Arial"/>
        <family val="0"/>
        <charset val="1"/>
      </rPr>
      <t xml:space="preserve">2025.11.1 </t>
    </r>
    <r>
      <rPr>
        <sz val="10"/>
        <color rgb="FF000000"/>
        <rFont val="WenQuanYi Zen Hei"/>
        <family val="2"/>
      </rPr>
      <t xml:space="preserve">기준</t>
    </r>
  </si>
  <si>
    <r>
      <rPr>
        <sz val="10"/>
        <color rgb="FF000000"/>
        <rFont val="WenQuanYi Zen Hei"/>
        <family val="2"/>
      </rPr>
      <t xml:space="preserve">국가데이터처</t>
    </r>
    <r>
      <rPr>
        <sz val="10"/>
        <color rgb="FF000000"/>
        <rFont val="Arial"/>
        <family val="0"/>
        <charset val="1"/>
      </rPr>
      <t xml:space="preserve">, 2025 </t>
    </r>
    <r>
      <rPr>
        <sz val="10"/>
        <color rgb="FF000000"/>
        <rFont val="WenQuanYi Zen Hei"/>
        <family val="2"/>
      </rPr>
      <t xml:space="preserve">인구주택총조사 결과 </t>
    </r>
    <r>
      <rPr>
        <sz val="10"/>
        <color rgb="FF000000"/>
        <rFont val="Arial"/>
        <family val="0"/>
        <charset val="1"/>
      </rPr>
      <t xml:space="preserve">(2026.7.28 </t>
    </r>
    <r>
      <rPr>
        <sz val="10"/>
        <color rgb="FF000000"/>
        <rFont val="WenQuanYi Zen Hei"/>
        <family val="2"/>
      </rPr>
      <t xml:space="preserve">발표</t>
    </r>
    <r>
      <rPr>
        <sz val="10"/>
        <color rgb="FF000000"/>
        <rFont val="Arial"/>
        <family val="0"/>
        <charset val="1"/>
      </rPr>
      <t xml:space="preserve">) — </t>
    </r>
    <r>
      <rPr>
        <sz val="10"/>
        <color rgb="FF000000"/>
        <rFont val="WenQuanYi Zen Hei"/>
        <family val="2"/>
      </rPr>
      <t xml:space="preserve">보도</t>
    </r>
    <r>
      <rPr>
        <sz val="10"/>
        <color rgb="FF000000"/>
        <rFont val="Arial"/>
        <family val="0"/>
        <charset val="1"/>
      </rPr>
      <t xml:space="preserve">: https://www.newsis.com/view/NISX20260728_0003726109 , https://www.fnnews.com/news/202607281048203456</t>
    </r>
  </si>
  <si>
    <r>
      <rPr>
        <sz val="10"/>
        <color rgb="FF000000"/>
        <rFont val="WenQuanYi Zen Hei"/>
        <family val="2"/>
      </rPr>
      <t xml:space="preserve">아파트 수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준공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년 이상 아파트 </t>
    </r>
    <r>
      <rPr>
        <sz val="10"/>
        <color rgb="FF000000"/>
        <rFont val="Arial"/>
        <family val="0"/>
        <charset val="1"/>
      </rPr>
      <t xml:space="preserve">(2023)</t>
    </r>
  </si>
  <si>
    <r>
      <rPr>
        <sz val="10"/>
        <color rgb="FF000000"/>
        <rFont val="Arial"/>
        <family val="0"/>
        <charset val="1"/>
      </rPr>
      <t xml:space="preserve">1,263</t>
    </r>
    <r>
      <rPr>
        <sz val="10"/>
        <color rgb="FF000000"/>
        <rFont val="WenQuanYi Zen Hei"/>
        <family val="2"/>
      </rPr>
      <t xml:space="preserve">만호 </t>
    </r>
    <r>
      <rPr>
        <sz val="10"/>
        <color rgb="FF000000"/>
        <rFont val="Arial"/>
        <family val="0"/>
        <charset val="1"/>
      </rPr>
      <t xml:space="preserve">/ 639</t>
    </r>
    <r>
      <rPr>
        <sz val="10"/>
        <color rgb="FF000000"/>
        <rFont val="WenQuanYi Zen Hei"/>
        <family val="2"/>
      </rPr>
      <t xml:space="preserve">만호 </t>
    </r>
    <r>
      <rPr>
        <sz val="10"/>
        <color rgb="FF000000"/>
        <rFont val="Arial"/>
        <family val="0"/>
        <charset val="1"/>
      </rPr>
      <t xml:space="preserve">(50.7%)</t>
    </r>
  </si>
  <si>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WenQuanYi Zen Hei"/>
        <family val="2"/>
      </rPr>
      <t xml:space="preserve">주택총조사</t>
    </r>
  </si>
  <si>
    <r>
      <rPr>
        <sz val="10"/>
        <color rgb="FF000000"/>
        <rFont val="WenQuanYi Zen Hei"/>
        <family val="2"/>
      </rPr>
      <t xml:space="preserve">통계청 주택총조사 인용 보도</t>
    </r>
    <r>
      <rPr>
        <sz val="10"/>
        <color rgb="FF000000"/>
        <rFont val="Arial"/>
        <family val="0"/>
        <charset val="1"/>
      </rPr>
      <t xml:space="preserve">: https://www.smarttoday.co.kr/ko-kr/articles/49322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</si>
  <si>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주택 준공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인허가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착공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공동주택 분양</t>
    </r>
  </si>
  <si>
    <r>
      <rPr>
        <sz val="10"/>
        <color rgb="FF000000"/>
        <rFont val="Arial"/>
        <family val="0"/>
        <charset val="1"/>
      </rPr>
      <t xml:space="preserve">34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2,399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(−17.8%) / 37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9,834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/ 27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2,685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(−10.1%) / 19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8,373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(−14.1%)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</si>
  <si>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연간</t>
    </r>
  </si>
  <si>
    <r>
      <rPr>
        <sz val="10"/>
        <color rgb="FF000000"/>
        <rFont val="WenQuanYi Zen Hei"/>
        <family val="2"/>
      </rPr>
      <t xml:space="preserve">국토교통부</t>
    </r>
    <r>
      <rPr>
        <sz val="10"/>
        <color rgb="FF000000"/>
        <rFont val="Arial"/>
        <family val="0"/>
        <charset val="1"/>
      </rPr>
      <t xml:space="preserve">, '25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월 주택통계 </t>
    </r>
    <r>
      <rPr>
        <sz val="10"/>
        <color rgb="FF000000"/>
        <rFont val="Arial"/>
        <family val="0"/>
        <charset val="1"/>
      </rPr>
      <t xml:space="preserve">(2026.1.30): https://www.korea.kr/briefing/pressReleaseView.do?newsId=156742136 , https://www.m-economynews.com/news/article.html?no=64226</t>
    </r>
  </si>
  <si>
    <r>
      <rPr>
        <sz val="10"/>
        <color rgb="FF000000"/>
        <rFont val="WenQuanYi Zen Hei"/>
        <family val="2"/>
      </rPr>
      <t xml:space="preserve">아파트 인허가 </t>
    </r>
    <r>
      <rPr>
        <sz val="10"/>
        <color rgb="FF000000"/>
        <rFont val="Arial"/>
        <family val="0"/>
        <charset val="1"/>
      </rPr>
      <t xml:space="preserve">(2025)</t>
    </r>
  </si>
  <si>
    <r>
      <rPr>
        <sz val="10"/>
        <color rgb="FF000000"/>
        <rFont val="Arial"/>
        <family val="0"/>
        <charset val="1"/>
      </rPr>
      <t xml:space="preserve">34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6,773</t>
    </r>
    <r>
      <rPr>
        <sz val="10"/>
        <color rgb="FF000000"/>
        <rFont val="WenQuanYi Zen Hei"/>
        <family val="2"/>
      </rPr>
      <t xml:space="preserve">가구 </t>
    </r>
    <r>
      <rPr>
        <sz val="10"/>
        <color rgb="FF000000"/>
        <rFont val="Arial"/>
        <family val="0"/>
        <charset val="1"/>
      </rPr>
      <t xml:space="preserve">(2024: 39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7,904)</t>
    </r>
  </si>
  <si>
    <r>
      <rPr>
        <sz val="10"/>
        <color rgb="FF000000"/>
        <rFont val="WenQuanYi Zen Hei"/>
        <family val="2"/>
      </rPr>
      <t xml:space="preserve">국토교통부 주택통계 인용 보도</t>
    </r>
    <r>
      <rPr>
        <sz val="10"/>
        <color rgb="FF000000"/>
        <rFont val="Arial"/>
        <family val="0"/>
        <charset val="1"/>
      </rPr>
      <t xml:space="preserve">: https://www.newsis.com/view/NISX20260129_0003495426</t>
    </r>
  </si>
  <si>
    <t xml:space="preserve">아파트 입주 물량</t>
  </si>
  <si>
    <r>
      <rPr>
        <sz val="10"/>
        <color rgb="FF000000"/>
        <rFont val="Arial"/>
        <family val="0"/>
        <charset val="1"/>
      </rPr>
      <t xml:space="preserve">2025 23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6,263</t>
    </r>
    <r>
      <rPr>
        <sz val="10"/>
        <color rgb="FF000000"/>
        <rFont val="WenQuanYi Zen Hei"/>
        <family val="2"/>
      </rPr>
      <t xml:space="preserve">가구 </t>
    </r>
    <r>
      <rPr>
        <sz val="10"/>
        <color rgb="FF000000"/>
        <rFont val="Arial"/>
        <family val="0"/>
        <charset val="1"/>
      </rPr>
      <t xml:space="preserve">/ 2026 </t>
    </r>
    <r>
      <rPr>
        <sz val="10"/>
        <color rgb="FF000000"/>
        <rFont val="WenQuanYi Zen Hei"/>
        <family val="2"/>
      </rPr>
      <t xml:space="preserve">예정 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3,124</t>
    </r>
    <r>
      <rPr>
        <sz val="10"/>
        <color rgb="FF000000"/>
        <rFont val="WenQuanYi Zen Hei"/>
        <family val="2"/>
      </rPr>
      <t xml:space="preserve">가구</t>
    </r>
  </si>
  <si>
    <t xml:space="preserve">https://v.daum.net/v/GCidIvCEQs</t>
  </si>
  <si>
    <r>
      <rPr>
        <sz val="10"/>
        <color rgb="FF000000"/>
        <rFont val="WenQuanYi Zen Hei"/>
        <family val="2"/>
      </rPr>
      <t xml:space="preserve">주택 매매거래 </t>
    </r>
    <r>
      <rPr>
        <sz val="10"/>
        <color rgb="FF000000"/>
        <rFont val="Arial"/>
        <family val="0"/>
        <charset val="1"/>
      </rPr>
      <t xml:space="preserve">(2025)</t>
    </r>
  </si>
  <si>
    <r>
      <rPr>
        <sz val="10"/>
        <color rgb="FF000000"/>
        <rFont val="Arial"/>
        <family val="0"/>
        <charset val="1"/>
      </rPr>
      <t xml:space="preserve">72.6</t>
    </r>
    <r>
      <rPr>
        <sz val="10"/>
        <color rgb="FF000000"/>
        <rFont val="WenQuanYi Zen Hei"/>
        <family val="2"/>
      </rPr>
      <t xml:space="preserve">만호 </t>
    </r>
    <r>
      <rPr>
        <sz val="10"/>
        <color rgb="FF000000"/>
        <rFont val="Arial"/>
        <family val="0"/>
        <charset val="1"/>
      </rPr>
      <t xml:space="preserve">(+13%, 10</t>
    </r>
    <r>
      <rPr>
        <sz val="10"/>
        <color rgb="FF000000"/>
        <rFont val="WenQuanYi Zen Hei"/>
        <family val="2"/>
      </rPr>
      <t xml:space="preserve">년 평균 </t>
    </r>
    <r>
      <rPr>
        <sz val="10"/>
        <color rgb="FF000000"/>
        <rFont val="Arial"/>
        <family val="0"/>
        <charset val="1"/>
      </rPr>
      <t xml:space="preserve">88.5</t>
    </r>
    <r>
      <rPr>
        <sz val="10"/>
        <color rgb="FF000000"/>
        <rFont val="WenQuanYi Zen Hei"/>
        <family val="2"/>
      </rPr>
      <t xml:space="preserve">만호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</si>
  <si>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연간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한국부동산원 자료</t>
    </r>
  </si>
  <si>
    <r>
      <rPr>
        <sz val="10"/>
        <color rgb="FF000000"/>
        <rFont val="Arial"/>
        <family val="0"/>
        <charset val="1"/>
      </rPr>
      <t xml:space="preserve">KB</t>
    </r>
    <r>
      <rPr>
        <sz val="10"/>
        <color rgb="FF000000"/>
        <rFont val="WenQuanYi Zen Hei"/>
        <family val="2"/>
      </rPr>
      <t xml:space="preserve">주택시장리뷰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월호</t>
    </r>
    <r>
      <rPr>
        <sz val="10"/>
        <color rgb="FF000000"/>
        <rFont val="Arial"/>
        <family val="0"/>
        <charset val="1"/>
      </rPr>
      <t xml:space="preserve">: https://kbthink.com/realestate/insights/research/260213-3.html</t>
    </r>
  </si>
  <si>
    <r>
      <rPr>
        <sz val="10"/>
        <color rgb="FF000000"/>
        <rFont val="WenQuanYi Zen Hei"/>
        <family val="2"/>
      </rPr>
      <t xml:space="preserve">국내 리모델링 시장 전망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건축물 전체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비주거 포함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</si>
  <si>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WenQuanYi Zen Hei"/>
        <family val="2"/>
      </rPr>
      <t xml:space="preserve">조원 →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WenQuanYi Zen Hei"/>
        <family val="2"/>
      </rPr>
      <t xml:space="preserve">조원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리모델링 </t>
    </r>
    <r>
      <rPr>
        <sz val="10"/>
        <color rgb="FF000000"/>
        <rFont val="Arial"/>
        <family val="0"/>
        <charset val="1"/>
      </rPr>
      <t xml:space="preserve">23.3</t>
    </r>
    <r>
      <rPr>
        <sz val="10"/>
        <color rgb="FF000000"/>
        <rFont val="WenQuanYi Zen Hei"/>
        <family val="2"/>
      </rPr>
      <t xml:space="preserve">조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유지보수 </t>
    </r>
    <r>
      <rPr>
        <sz val="10"/>
        <color rgb="FF000000"/>
        <rFont val="Arial"/>
        <family val="0"/>
        <charset val="1"/>
      </rPr>
      <t xml:space="preserve">13.8</t>
    </r>
    <r>
      <rPr>
        <sz val="10"/>
        <color rgb="FF000000"/>
        <rFont val="WenQuanYi Zen Hei"/>
        <family val="2"/>
      </rPr>
      <t xml:space="preserve">조</t>
    </r>
    <r>
      <rPr>
        <sz val="10"/>
        <color rgb="FF000000"/>
        <rFont val="Arial"/>
        <family val="0"/>
        <charset val="1"/>
      </rPr>
      <t xml:space="preserve">, 2025)</t>
    </r>
  </si>
  <si>
    <t xml:space="preserve">한국건설산업연구원 전망치</t>
  </si>
  <si>
    <t xml:space="preserve">https://m.ekn.kr/view.php?key=523568</t>
  </si>
  <si>
    <r>
      <rPr>
        <sz val="10"/>
        <color rgb="FF000000"/>
        <rFont val="WenQuanYi Zen Hei"/>
        <family val="2"/>
      </rPr>
      <t xml:space="preserve">한샘 리하우스 스타일패키지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전체 리모델링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</si>
  <si>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평대 평당 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만원대 → 약 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WenQuanYi Zen Hei"/>
        <family val="2"/>
      </rPr>
      <t xml:space="preserve">만원</t>
    </r>
  </si>
  <si>
    <r>
      <rPr>
        <sz val="10"/>
        <color rgb="FF000000"/>
        <rFont val="Arial"/>
        <family val="0"/>
        <charset val="1"/>
      </rPr>
      <t xml:space="preserve">2019 </t>
    </r>
    <r>
      <rPr>
        <sz val="10"/>
        <color rgb="FF000000"/>
        <rFont val="WenQuanYi Zen Hei"/>
        <family val="2"/>
      </rPr>
      <t xml:space="preserve">보도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가격 시점 오래됨</t>
    </r>
    <r>
      <rPr>
        <sz val="10"/>
        <color rgb="FF000000"/>
        <rFont val="Arial"/>
        <family val="0"/>
        <charset val="1"/>
      </rPr>
      <t xml:space="preserve">)</t>
    </r>
  </si>
  <si>
    <t xml:space="preserve">https://www.dailian.co.kr/news/view/1008108/</t>
  </si>
  <si>
    <r>
      <rPr>
        <sz val="10"/>
        <color rgb="FF000000"/>
        <rFont val="WenQuanYi Zen Hei"/>
        <family val="2"/>
      </rPr>
      <t xml:space="preserve">프리미엄 </t>
    </r>
    <r>
      <rPr>
        <sz val="10"/>
        <color rgb="FF000000"/>
        <rFont val="Arial"/>
        <family val="0"/>
        <charset val="1"/>
      </rPr>
      <t xml:space="preserve">Kitchen </t>
    </r>
    <r>
      <rPr>
        <sz val="10"/>
        <color rgb="FF000000"/>
        <rFont val="WenQuanYi Zen Hei"/>
        <family val="2"/>
      </rPr>
      <t xml:space="preserve">동향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한샘 키친바흐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빌트인 가전 연계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</si>
  <si>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국내 프리미엄 키친 시장 약 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WenQuanYi Zen Hei"/>
        <family val="2"/>
      </rPr>
      <t xml:space="preserve">가 수입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고가 맞춤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키친바흐 매출 </t>
    </r>
    <r>
      <rPr>
        <sz val="10"/>
        <color rgb="FF000000"/>
        <rFont val="Arial"/>
        <family val="0"/>
        <charset val="1"/>
      </rPr>
      <t xml:space="preserve">+17% (2025.6 </t>
    </r>
    <r>
      <rPr>
        <sz val="10"/>
        <color rgb="FF000000"/>
        <rFont val="WenQuanYi Zen Hei"/>
        <family val="2"/>
      </rPr>
      <t xml:space="preserve">기준</t>
    </r>
    <r>
      <rPr>
        <sz val="10"/>
        <color rgb="FF000000"/>
        <rFont val="Arial"/>
        <family val="0"/>
        <charset val="1"/>
      </rPr>
      <t xml:space="preserve">) / </t>
    </r>
    <r>
      <rPr>
        <sz val="10"/>
        <color rgb="FF000000"/>
        <rFont val="WenQuanYi Zen Hei"/>
        <family val="2"/>
      </rPr>
      <t xml:space="preserve">밀레 연계 부엌 매출 </t>
    </r>
    <r>
      <rPr>
        <sz val="10"/>
        <color rgb="FF000000"/>
        <rFont val="Arial"/>
        <family val="0"/>
        <charset val="1"/>
      </rPr>
      <t xml:space="preserve">+173% (2024 </t>
    </r>
    <r>
      <rPr>
        <sz val="10"/>
        <color rgb="FF000000"/>
        <rFont val="WenQuanYi Zen Hei"/>
        <family val="2"/>
      </rPr>
      <t xml:space="preserve">대비</t>
    </r>
    <r>
      <rPr>
        <sz val="10"/>
        <color rgb="FF000000"/>
        <rFont val="Arial"/>
        <family val="0"/>
        <charset val="1"/>
      </rPr>
      <t xml:space="preserve">)</t>
    </r>
  </si>
  <si>
    <t xml:space="preserve">회사 발표 인용 보도</t>
  </si>
  <si>
    <t xml:space="preserve">https://www.heraldk.com/article/2025072318143590645 , https://www.heraldk.com/article/2026062223520679105</t>
  </si>
  <si>
    <t xml:space="preserve">한샘 리하우스 부문 매출</t>
  </si>
  <si>
    <r>
      <rPr>
        <sz val="10"/>
        <color rgb="FF000000"/>
        <rFont val="Arial"/>
        <family val="0"/>
        <charset val="1"/>
      </rPr>
      <t xml:space="preserve">2025 1Q 1,147</t>
    </r>
    <r>
      <rPr>
        <sz val="10"/>
        <color rgb="FF000000"/>
        <rFont val="WenQuanYi Zen Hei"/>
        <family val="2"/>
      </rPr>
      <t xml:space="preserve">억원 </t>
    </r>
    <r>
      <rPr>
        <sz val="10"/>
        <color rgb="FF000000"/>
        <rFont val="Arial"/>
        <family val="0"/>
        <charset val="1"/>
      </rPr>
      <t xml:space="preserve">(−4.3%)</t>
    </r>
  </si>
  <si>
    <t xml:space="preserve">분기 실적</t>
  </si>
  <si>
    <t xml:space="preserve">https://newstomato.com/ReadNews.aspx?no=1284742</t>
  </si>
  <si>
    <t xml:space="preserve">신축 유상옵션 비용 비중</t>
  </si>
  <si>
    <r>
      <rPr>
        <sz val="10"/>
        <color rgb="FF000000"/>
        <rFont val="WenQuanYi Zen Hei"/>
        <family val="2"/>
      </rPr>
      <t xml:space="preserve">분양가상한제 단지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곳 평균 분양가 대비 </t>
    </r>
    <r>
      <rPr>
        <sz val="10"/>
        <color rgb="FF000000"/>
        <rFont val="Arial"/>
        <family val="0"/>
        <charset val="1"/>
      </rPr>
      <t xml:space="preserve">9.7%</t>
    </r>
  </si>
  <si>
    <t xml:space="preserve">수도권 분양 단지 보도</t>
  </si>
  <si>
    <t xml:space="preserve">https://www.etoday.co.kr/news/view/2392578</t>
  </si>
  <si>
    <r>
      <rPr>
        <sz val="10"/>
        <color rgb="FF000000"/>
        <rFont val="WenQuanYi Zen Hei"/>
        <family val="2"/>
      </rPr>
      <t xml:space="preserve">코웨이 실적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렌탈 계정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</si>
  <si>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매출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조</t>
    </r>
    <r>
      <rPr>
        <sz val="10"/>
        <color rgb="FF000000"/>
        <rFont val="Arial"/>
        <family val="0"/>
        <charset val="1"/>
      </rPr>
      <t xml:space="preserve">3,101</t>
    </r>
    <r>
      <rPr>
        <sz val="10"/>
        <color rgb="FF000000"/>
        <rFont val="WenQuanYi Zen Hei"/>
        <family val="2"/>
      </rPr>
      <t xml:space="preserve">억원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국내 계정 </t>
    </r>
    <r>
      <rPr>
        <sz val="10"/>
        <color rgb="FF000000"/>
        <rFont val="Arial"/>
        <family val="0"/>
        <charset val="1"/>
      </rPr>
      <t xml:space="preserve">671</t>
    </r>
    <r>
      <rPr>
        <sz val="10"/>
        <color rgb="FF000000"/>
        <rFont val="WenQuanYi Zen Hei"/>
        <family val="2"/>
      </rPr>
      <t xml:space="preserve">만 </t>
    </r>
    <r>
      <rPr>
        <sz val="10"/>
        <color rgb="FF000000"/>
        <rFont val="Arial"/>
        <family val="0"/>
        <charset val="1"/>
      </rPr>
      <t xml:space="preserve">/ 2025 </t>
    </r>
    <r>
      <rPr>
        <sz val="10"/>
        <color rgb="FF000000"/>
        <rFont val="WenQuanYi Zen Hei"/>
        <family val="2"/>
      </rPr>
      <t xml:space="preserve">매출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조</t>
    </r>
    <r>
      <rPr>
        <sz val="10"/>
        <color rgb="FF000000"/>
        <rFont val="Arial"/>
        <family val="0"/>
        <charset val="1"/>
      </rPr>
      <t xml:space="preserve">9,636</t>
    </r>
    <r>
      <rPr>
        <sz val="10"/>
        <color rgb="FF000000"/>
        <rFont val="WenQuanYi Zen Hei"/>
        <family val="2"/>
      </rPr>
      <t xml:space="preserve">억원</t>
    </r>
  </si>
  <si>
    <t xml:space="preserve">회사 실적 발표 인용 보도</t>
  </si>
  <si>
    <t xml:space="preserve">https://news.bizwatch.co.kr/article/consumer/2025/02/14/0029 , https://dealsite.co.kr/articles/156536</t>
  </si>
  <si>
    <r>
      <rPr>
        <sz val="10"/>
        <color rgb="FF000000"/>
        <rFont val="WenQuanYi Zen Hei"/>
        <family val="2"/>
      </rPr>
      <t xml:space="preserve">가전 </t>
    </r>
    <r>
      <rPr>
        <sz val="10"/>
        <color rgb="FF000000"/>
        <rFont val="Arial"/>
        <family val="0"/>
        <charset val="1"/>
      </rPr>
      <t xml:space="preserve">A/S </t>
    </r>
    <r>
      <rPr>
        <sz val="10"/>
        <color rgb="FF000000"/>
        <rFont val="WenQuanYi Zen Hei"/>
        <family val="2"/>
      </rPr>
      <t xml:space="preserve">출장비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소비자 부과분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</si>
  <si>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삼성전자서비스 평절기 기본 </t>
    </r>
    <r>
      <rPr>
        <sz val="10"/>
        <color rgb="FF000000"/>
        <rFont val="Arial"/>
        <family val="0"/>
        <charset val="1"/>
      </rPr>
      <t xml:space="preserve">2.8</t>
    </r>
    <r>
      <rPr>
        <sz val="10"/>
        <color rgb="FF000000"/>
        <rFont val="WenQuanYi Zen Hei"/>
        <family val="2"/>
      </rPr>
      <t xml:space="preserve">만원 </t>
    </r>
    <r>
      <rPr>
        <sz val="10"/>
        <color rgb="FF000000"/>
        <rFont val="Arial"/>
        <family val="0"/>
        <charset val="1"/>
      </rPr>
      <t xml:space="preserve">(2026.1.8~) / LG</t>
    </r>
    <r>
      <rPr>
        <sz val="10"/>
        <color rgb="FF000000"/>
        <rFont val="WenQuanYi Zen Hei"/>
        <family val="2"/>
      </rPr>
      <t xml:space="preserve">전자 평절기 평일 주간 </t>
    </r>
    <r>
      <rPr>
        <sz val="10"/>
        <color rgb="FF000000"/>
        <rFont val="Arial"/>
        <family val="0"/>
        <charset val="1"/>
      </rPr>
      <t xml:space="preserve">2.8</t>
    </r>
    <r>
      <rPr>
        <sz val="10"/>
        <color rgb="FF000000"/>
        <rFont val="WenQuanYi Zen Hei"/>
        <family val="2"/>
      </rPr>
      <t xml:space="preserve">만원</t>
    </r>
  </si>
  <si>
    <t xml:space="preserve">2026</t>
  </si>
  <si>
    <t xml:space="preserve">https://biz.sbs.co.kr/amp/article/20000282569 , https://biz.sbs.co.kr/amp/article/20000310315</t>
  </si>
  <si>
    <t xml:space="preserve">가사서비스 요금</t>
  </si>
  <si>
    <r>
      <rPr>
        <sz val="10"/>
        <color rgb="FF000000"/>
        <rFont val="WenQuanYi Zen Hei"/>
        <family val="2"/>
      </rPr>
      <t xml:space="preserve">플랫폼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시간 </t>
    </r>
    <r>
      <rPr>
        <sz val="10"/>
        <color rgb="FF000000"/>
        <rFont val="Arial"/>
        <family val="0"/>
        <charset val="1"/>
      </rPr>
      <t xml:space="preserve">59,900~64,900</t>
    </r>
    <r>
      <rPr>
        <sz val="10"/>
        <color rgb="FF000000"/>
        <rFont val="WenQuanYi Zen Hei"/>
        <family val="2"/>
      </rPr>
      <t xml:space="preserve">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1.5~1.6</t>
    </r>
    <r>
      <rPr>
        <sz val="10"/>
        <color rgb="FF000000"/>
        <rFont val="WenQuanYi Zen Hei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/h) / 2026 </t>
    </r>
    <r>
      <rPr>
        <sz val="10"/>
        <color rgb="FF000000"/>
        <rFont val="WenQuanYi Zen Hei"/>
        <family val="2"/>
      </rPr>
      <t xml:space="preserve">최저임금 </t>
    </r>
    <r>
      <rPr>
        <sz val="10"/>
        <color rgb="FF000000"/>
        <rFont val="Arial"/>
        <family val="0"/>
        <charset val="1"/>
      </rPr>
      <t xml:space="preserve">10,320</t>
    </r>
    <r>
      <rPr>
        <sz val="10"/>
        <color rgb="FF000000"/>
        <rFont val="WenQuanYi Zen Hei"/>
        <family val="2"/>
      </rPr>
      <t xml:space="preserve">원</t>
    </r>
  </si>
  <si>
    <r>
      <rPr>
        <sz val="10"/>
        <color rgb="FF000000"/>
        <rFont val="WenQuanYi Zen Hei"/>
        <family val="2"/>
      </rPr>
      <t xml:space="preserve">공개 요금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고시</t>
    </r>
  </si>
  <si>
    <t xml:space="preserve">https://apps.apple.com/pl/app/id997730211 , https://www.activpayroll.com/news-articles/south-korea-announces-2026-minimum-wage-increase</t>
  </si>
  <si>
    <r>
      <rPr>
        <sz val="10"/>
        <color rgb="FF000000"/>
        <rFont val="WenQuanYi Zen Hei"/>
        <family val="2"/>
      </rPr>
      <t xml:space="preserve">협동로봇 가격 </t>
    </r>
    <r>
      <rPr>
        <sz val="10"/>
        <color rgb="FF000000"/>
        <rFont val="Arial"/>
        <family val="0"/>
        <charset val="1"/>
      </rPr>
      <t xml:space="preserve">(Arm + Controller)</t>
    </r>
  </si>
  <si>
    <r>
      <rPr>
        <sz val="10"/>
        <color rgb="FF000000"/>
        <rFont val="Arial"/>
        <family val="0"/>
        <charset val="1"/>
      </rPr>
      <t xml:space="preserve">UR3e $23k~33k (</t>
    </r>
    <r>
      <rPr>
        <sz val="10"/>
        <color rgb="FF000000"/>
        <rFont val="WenQuanYi Zen Hei"/>
        <family val="2"/>
      </rPr>
      <t xml:space="preserve">공식 정가 미공개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유통가</t>
    </r>
    <r>
      <rPr>
        <sz val="10"/>
        <color rgb="FF000000"/>
        <rFont val="Arial"/>
        <family val="0"/>
        <charset val="1"/>
      </rPr>
      <t xml:space="preserve">) / Doosan E0509 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$22k / UFACTORY xArm 6 $8,399 / FAIRINO FR5 $6,999 / UFACTORY Lite 6 Kit $4,482 (</t>
    </r>
    <r>
      <rPr>
        <sz val="10"/>
        <color rgb="FF000000"/>
        <rFont val="WenQuanYi Zen Hei"/>
        <family val="2"/>
      </rPr>
      <t xml:space="preserve">가반 </t>
    </r>
    <r>
      <rPr>
        <sz val="10"/>
        <color rgb="FF000000"/>
        <rFont val="Arial"/>
        <family val="0"/>
        <charset val="1"/>
      </rPr>
      <t xml:space="preserve">0.6kg)</t>
    </r>
  </si>
  <si>
    <r>
      <rPr>
        <sz val="10"/>
        <color rgb="FF000000"/>
        <rFont val="WenQuanYi Zen Hei"/>
        <family val="2"/>
      </rPr>
      <t xml:space="preserve">유통가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공개가 </t>
    </r>
    <r>
      <rPr>
        <sz val="10"/>
        <color rgb="FF000000"/>
        <rFont val="Arial"/>
        <family val="0"/>
        <charset val="1"/>
      </rPr>
      <t xml:space="preserve">(2025~2026)</t>
    </r>
  </si>
  <si>
    <t xml:space="preserve">https://standardbots.com/blog/universal-robot-price , https://robotomated.com/explore/manufacturing/doosan-e-series-e0509 , https://www.robotshop.com/products/xarm-6-dof-robotic-arm , https://top3dshop.com/product/fairino-fr5-robotic-arm , https://www.robotshop.com/products/ufactory-6-axis-robot-arm-lite-6-kit</t>
  </si>
  <si>
    <t xml:space="preserve">Gripper / Fingertip / Food-grade Suction Cup</t>
  </si>
  <si>
    <r>
      <rPr>
        <sz val="10"/>
        <color rgb="FF000000"/>
        <rFont val="Arial"/>
        <family val="0"/>
        <charset val="1"/>
      </rPr>
      <t xml:space="preserve">Robotiq 2F-85 $4,999~ / OnRobot RG2 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$3,200 / Robotiq Fingertip $175~195 / Piab Food-grade Silicone Cup £7~20 (FDA 21 CFR 177.2600)</t>
    </r>
  </si>
  <si>
    <t xml:space="preserve">공개가</t>
  </si>
  <si>
    <t xml:space="preserve">https://qviro.com/product/robotiq/2f-85-robotiq/ , https://www.roboticscenter.ai/en/hardware/robotiq-2f-85 , https://automationdistribution.com/brands/Robotiq.html , https://uk.rubix.com/en/flat-suction-cups-f-silicone/p-G2010133211</t>
  </si>
  <si>
    <t xml:space="preserve">Depth Camera</t>
  </si>
  <si>
    <t xml:space="preserve">Intel RealSense D405 $514 / D435 $538 / Orbbec Gemini 335 $384~400</t>
  </si>
  <si>
    <t xml:space="preserve">https://openelab.com/collections/robotic-camera , https://knoxlabs.com/products/orbbec-gemini-335-depth-camera</t>
  </si>
  <si>
    <r>
      <rPr>
        <sz val="10"/>
        <color rgb="FF000000"/>
        <rFont val="Arial"/>
        <family val="0"/>
        <charset val="1"/>
      </rPr>
      <t xml:space="preserve">Linear Module (</t>
    </r>
    <r>
      <rPr>
        <sz val="10"/>
        <color rgb="FF000000"/>
        <rFont val="WenQuanYi Zen Hei"/>
        <family val="2"/>
      </rPr>
      <t xml:space="preserve">소형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</si>
  <si>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HIWIN KK </t>
    </r>
    <r>
      <rPr>
        <sz val="10"/>
        <color rgb="FF000000"/>
        <rFont val="WenQuanYi Zen Hei"/>
        <family val="2"/>
      </rPr>
      <t xml:space="preserve">계열 </t>
    </r>
    <r>
      <rPr>
        <sz val="10"/>
        <color rgb="FF000000"/>
        <rFont val="Arial"/>
        <family val="0"/>
        <charset val="1"/>
      </rPr>
      <t xml:space="preserve">$73~245 (</t>
    </r>
    <r>
      <rPr>
        <sz val="10"/>
        <color rgb="FF000000"/>
        <rFont val="WenQuanYi Zen Hei"/>
        <family val="2"/>
      </rPr>
      <t xml:space="preserve">소형 모듈</t>
    </r>
    <r>
      <rPr>
        <sz val="10"/>
        <color rgb="FF000000"/>
        <rFont val="Arial"/>
        <family val="0"/>
        <charset val="1"/>
      </rPr>
      <t xml:space="preserve">, Robot 7</t>
    </r>
    <r>
      <rPr>
        <sz val="10"/>
        <color rgb="FF000000"/>
        <rFont val="WenQuanYi Zen Hei"/>
        <family val="2"/>
      </rPr>
      <t xml:space="preserve">축 </t>
    </r>
    <r>
      <rPr>
        <sz val="10"/>
        <color rgb="FF000000"/>
        <rFont val="Arial"/>
        <family val="0"/>
        <charset val="1"/>
      </rPr>
      <t xml:space="preserve">Rail</t>
    </r>
    <r>
      <rPr>
        <sz val="10"/>
        <color rgb="FF000000"/>
        <rFont val="WenQuanYi Zen Hei"/>
        <family val="2"/>
      </rPr>
      <t xml:space="preserve">과 다름</t>
    </r>
    <r>
      <rPr>
        <sz val="10"/>
        <color rgb="FF000000"/>
        <rFont val="Arial"/>
        <family val="0"/>
        <charset val="1"/>
      </rPr>
      <t xml:space="preserve">)</t>
    </r>
  </si>
  <si>
    <t xml:space="preserve">유통가</t>
  </si>
  <si>
    <t xml:space="preserve">https://qviro.com/product/hiwin/electric-linear-axis-kk-series</t>
  </si>
  <si>
    <r>
      <rPr>
        <sz val="10"/>
        <color rgb="FF000000"/>
        <rFont val="Arial"/>
        <family val="0"/>
        <charset val="1"/>
      </rPr>
      <t xml:space="preserve">1X NEO (</t>
    </r>
    <r>
      <rPr>
        <sz val="10"/>
        <color rgb="FF000000"/>
        <rFont val="WenQuanYi Zen Hei"/>
        <family val="2"/>
      </rPr>
      <t xml:space="preserve">가정용 </t>
    </r>
    <r>
      <rPr>
        <sz val="10"/>
        <color rgb="FF000000"/>
        <rFont val="Arial"/>
        <family val="0"/>
        <charset val="1"/>
      </rPr>
      <t xml:space="preserve">Humanoid)</t>
    </r>
  </si>
  <si>
    <r>
      <rPr>
        <sz val="10"/>
        <color rgb="FF000000"/>
        <rFont val="Arial"/>
        <family val="0"/>
        <charset val="1"/>
      </rPr>
      <t xml:space="preserve">$20,000 </t>
    </r>
    <r>
      <rPr>
        <sz val="10"/>
        <color rgb="FF000000"/>
        <rFont val="WenQuanYi Zen Hei"/>
        <family val="2"/>
      </rPr>
      <t xml:space="preserve">구매 또는 월 </t>
    </r>
    <r>
      <rPr>
        <sz val="10"/>
        <color rgb="FF000000"/>
        <rFont val="Arial"/>
        <family val="0"/>
        <charset val="1"/>
      </rPr>
      <t xml:space="preserve">$499 </t>
    </r>
    <r>
      <rPr>
        <sz val="10"/>
        <color rgb="FF000000"/>
        <rFont val="WenQuanYi Zen Hei"/>
        <family val="2"/>
      </rPr>
      <t xml:space="preserve">구독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최소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개월</t>
    </r>
    <r>
      <rPr>
        <sz val="10"/>
        <color rgb="FF000000"/>
        <rFont val="Arial"/>
        <family val="0"/>
        <charset val="1"/>
      </rPr>
      <t xml:space="preserve">), 2026 </t>
    </r>
    <r>
      <rPr>
        <sz val="10"/>
        <color rgb="FF000000"/>
        <rFont val="WenQuanYi Zen Hei"/>
        <family val="2"/>
      </rPr>
      <t xml:space="preserve">출하</t>
    </r>
  </si>
  <si>
    <t xml:space="preserve">https://www.fastcompany.com/91428202/1x-technologies-home-robot-neo</t>
  </si>
  <si>
    <t xml:space="preserve">Sunday Robotics Memo</t>
  </si>
  <si>
    <r>
      <rPr>
        <sz val="10"/>
        <color rgb="FF000000"/>
        <rFont val="WenQuanYi Zen Hei"/>
        <family val="2"/>
      </rPr>
      <t xml:space="preserve">식세기 적재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테이블 정리 시연</t>
    </r>
    <r>
      <rPr>
        <sz val="10"/>
        <color rgb="FF000000"/>
        <rFont val="Arial"/>
        <family val="0"/>
        <charset val="1"/>
      </rPr>
      <t xml:space="preserve">, 2026 </t>
    </r>
    <r>
      <rPr>
        <sz val="10"/>
        <color rgb="FF000000"/>
        <rFont val="WenQuanYi Zen Hei"/>
        <family val="2"/>
      </rPr>
      <t xml:space="preserve">베타 약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WenQuanYi Zen Hei"/>
        <family val="2"/>
      </rPr>
      <t xml:space="preserve">가구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양산 시 </t>
    </r>
    <r>
      <rPr>
        <sz val="10"/>
        <color rgb="FF000000"/>
        <rFont val="Arial"/>
        <family val="0"/>
        <charset val="1"/>
      </rPr>
      <t xml:space="preserve">$10k </t>
    </r>
    <r>
      <rPr>
        <sz val="10"/>
        <color rgb="FF000000"/>
        <rFont val="WenQuanYi Zen Hei"/>
        <family val="2"/>
      </rPr>
      <t xml:space="preserve">미만 목표</t>
    </r>
  </si>
  <si>
    <t xml:space="preserve">보도</t>
  </si>
  <si>
    <t xml:space="preserve">https://euronews.com/next/2025/11/25/meet-memo-a-home-robot-that-can-grab-wine-glasses-and-load-the-dishwasher , https://sacra.com/c/sunday/</t>
  </si>
  <si>
    <t xml:space="preserve">LG CLOiD</t>
  </si>
  <si>
    <r>
      <rPr>
        <sz val="10"/>
        <color rgb="FF000000"/>
        <rFont val="Arial"/>
        <family val="0"/>
        <charset val="1"/>
      </rPr>
      <t xml:space="preserve">CES 2026 </t>
    </r>
    <r>
      <rPr>
        <sz val="10"/>
        <color rgb="FF000000"/>
        <rFont val="WenQuanYi Zen Hei"/>
        <family val="2"/>
      </rPr>
      <t xml:space="preserve">공개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빨래 개기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식세기 비우기 등 가사 시연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판매가 미공개</t>
    </r>
    <r>
      <rPr>
        <sz val="10"/>
        <color rgb="FF000000"/>
        <rFont val="Arial"/>
        <family val="0"/>
        <charset val="1"/>
      </rPr>
      <t xml:space="preserve">)</t>
    </r>
  </si>
  <si>
    <t xml:space="preserve">CES 2026</t>
  </si>
  <si>
    <t xml:space="preserve">https://www.dezeen.com/2026/01/06/lg-ai-powered-robot-ces-2026/</t>
  </si>
  <si>
    <t xml:space="preserve">Samsung Bot Handy</t>
  </si>
  <si>
    <r>
      <rPr>
        <sz val="10"/>
        <color rgb="FF000000"/>
        <rFont val="Arial"/>
        <family val="0"/>
        <charset val="1"/>
      </rPr>
      <t xml:space="preserve">CES 2021 </t>
    </r>
    <r>
      <rPr>
        <sz val="10"/>
        <color rgb="FF000000"/>
        <rFont val="WenQuanYi Zen Hei"/>
        <family val="2"/>
      </rPr>
      <t xml:space="preserve">공개 </t>
    </r>
    <r>
      <rPr>
        <sz val="10"/>
        <color rgb="FF000000"/>
        <rFont val="Arial"/>
        <family val="0"/>
        <charset val="1"/>
      </rPr>
      <t xml:space="preserve">Concept, </t>
    </r>
    <r>
      <rPr>
        <sz val="10"/>
        <color rgb="FF000000"/>
        <rFont val="WenQuanYi Zen Hei"/>
        <family val="2"/>
      </rPr>
      <t xml:space="preserve">출시 일정 미공개</t>
    </r>
  </si>
  <si>
    <t xml:space="preserve">https://www.sammobile.com/news/meet-samsung-new-ai-powered-household-robots-ces-2021/</t>
  </si>
  <si>
    <t xml:space="preserve">Moley Robotic Kitchen</t>
  </si>
  <si>
    <r>
      <rPr>
        <sz val="10"/>
        <color rgb="FF000000"/>
        <rFont val="Arial"/>
        <family val="0"/>
        <charset val="1"/>
      </rPr>
      <t xml:space="preserve">Arm </t>
    </r>
    <r>
      <rPr>
        <sz val="10"/>
        <color rgb="FF000000"/>
        <rFont val="WenQuanYi Zen Hei"/>
        <family val="2"/>
      </rPr>
      <t xml:space="preserve">포함 </t>
    </r>
    <r>
      <rPr>
        <sz val="10"/>
        <color rgb="FF000000"/>
        <rFont val="Arial"/>
        <family val="0"/>
        <charset val="1"/>
      </rPr>
      <t xml:space="preserve">£248,000 / Arm </t>
    </r>
    <r>
      <rPr>
        <sz val="10"/>
        <color rgb="FF000000"/>
        <rFont val="WenQuanYi Zen Hei"/>
        <family val="2"/>
      </rPr>
      <t xml:space="preserve">제외 </t>
    </r>
    <r>
      <rPr>
        <sz val="10"/>
        <color rgb="FF000000"/>
        <rFont val="Arial"/>
        <family val="0"/>
        <charset val="1"/>
      </rPr>
      <t xml:space="preserve">£128,000~140,000 (</t>
    </r>
    <r>
      <rPr>
        <sz val="10"/>
        <color rgb="FF000000"/>
        <rFont val="WenQuanYi Zen Hei"/>
        <family val="2"/>
      </rPr>
      <t xml:space="preserve">천장 </t>
    </r>
    <r>
      <rPr>
        <sz val="10"/>
        <color rgb="FF000000"/>
        <rFont val="Arial"/>
        <family val="0"/>
        <charset val="1"/>
      </rPr>
      <t xml:space="preserve">Rail </t>
    </r>
    <r>
      <rPr>
        <sz val="10"/>
        <color rgb="FF000000"/>
        <rFont val="WenQuanYi Zen Hei"/>
        <family val="2"/>
      </rPr>
      <t xml:space="preserve">양팔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</si>
  <si>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2021 </t>
    </r>
    <r>
      <rPr>
        <sz val="10"/>
        <color rgb="FF000000"/>
        <rFont val="WenQuanYi Zen Hei"/>
        <family val="2"/>
      </rPr>
      <t xml:space="preserve">판매 개시 보도</t>
    </r>
  </si>
  <si>
    <t xml:space="preserve">https://thespoon.tech/moleys-robotic-kitchen-goes-on-sale/</t>
  </si>
  <si>
    <t xml:space="preserve">Posha (Countertop Cooking Robot)</t>
  </si>
  <si>
    <r>
      <rPr>
        <sz val="10"/>
        <color rgb="FF000000"/>
        <rFont val="Arial"/>
        <family val="0"/>
        <charset val="1"/>
      </rPr>
      <t xml:space="preserve">$1,750 (</t>
    </r>
    <r>
      <rPr>
        <sz val="10"/>
        <color rgb="FF000000"/>
        <rFont val="WenQuanYi Zen Hei"/>
        <family val="2"/>
      </rPr>
      <t xml:space="preserve">선주문 </t>
    </r>
    <r>
      <rPr>
        <sz val="10"/>
        <color rgb="FF000000"/>
        <rFont val="Arial"/>
        <family val="0"/>
        <charset val="1"/>
      </rPr>
      <t xml:space="preserve">$1,500) + 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Arial"/>
        <family val="0"/>
        <charset val="1"/>
      </rPr>
      <t xml:space="preserve">$15</t>
    </r>
  </si>
  <si>
    <t xml:space="preserve">2025</t>
  </si>
  <si>
    <t xml:space="preserve">https://techcrunch.com/2025/05/06/meet-posha-a-countertop-robot-that-cooks-your-meals-for-you</t>
  </si>
  <si>
    <t xml:space="preserve">Tesla Optimus / Figure 03</t>
  </si>
  <si>
    <r>
      <rPr>
        <sz val="10"/>
        <color rgb="FF000000"/>
        <rFont val="Arial"/>
        <family val="0"/>
        <charset val="1"/>
      </rPr>
      <t xml:space="preserve">Optimus </t>
    </r>
    <r>
      <rPr>
        <sz val="10"/>
        <color rgb="FF000000"/>
        <rFont val="WenQuanYi Zen Hei"/>
        <family val="2"/>
      </rPr>
      <t xml:space="preserve">소비자 목표가 </t>
    </r>
    <r>
      <rPr>
        <sz val="10"/>
        <color rgb="FF000000"/>
        <rFont val="Arial"/>
        <family val="0"/>
        <charset val="1"/>
      </rPr>
      <t xml:space="preserve">$20k~30k (</t>
    </r>
    <r>
      <rPr>
        <sz val="10"/>
        <color rgb="FF000000"/>
        <rFont val="WenQuanYi Zen Hei"/>
        <family val="2"/>
      </rPr>
      <t xml:space="preserve">양산 시</t>
    </r>
    <r>
      <rPr>
        <sz val="10"/>
        <color rgb="FF000000"/>
        <rFont val="Arial"/>
        <family val="0"/>
        <charset val="1"/>
      </rPr>
      <t xml:space="preserve">, 2027 </t>
    </r>
    <r>
      <rPr>
        <sz val="10"/>
        <color rgb="FF000000"/>
        <rFont val="WenQuanYi Zen Hei"/>
        <family val="2"/>
      </rPr>
      <t xml:space="preserve">전후</t>
    </r>
    <r>
      <rPr>
        <sz val="10"/>
        <color rgb="FF000000"/>
        <rFont val="Arial"/>
        <family val="0"/>
        <charset val="1"/>
      </rPr>
      <t xml:space="preserve">) / Figure 03 </t>
    </r>
    <r>
      <rPr>
        <sz val="10"/>
        <color rgb="FF000000"/>
        <rFont val="WenQuanYi Zen Hei"/>
        <family val="2"/>
      </rPr>
      <t xml:space="preserve">가사 시연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가격 미공개</t>
    </r>
  </si>
  <si>
    <t xml:space="preserve">https://www.notebookcheck.net/Optimus-as-a-household-helper-Elon-Musk-plans-to-bring-Tesla-robots-into-private-homes-starting-in-2027.1212513.0.html , https://getcoai.com/news/stay-at-home-bots-figure-03-humanoid-robot-can-fold-laundry-wash-dishes</t>
  </si>
  <si>
    <t xml:space="preserve">IFR World Robotics 2025 — Service Robots</t>
  </si>
  <si>
    <r>
      <rPr>
        <sz val="10"/>
        <color rgb="FF000000"/>
        <rFont val="WenQuanYi Zen Hei"/>
        <family val="2"/>
      </rPr>
      <t xml:space="preserve">소비자용 서비스로봇 약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WenQuanYi Zen Hei"/>
        <family val="2"/>
      </rPr>
      <t xml:space="preserve">만대 </t>
    </r>
    <r>
      <rPr>
        <sz val="10"/>
        <color rgb="FF000000"/>
        <rFont val="Arial"/>
        <family val="0"/>
        <charset val="1"/>
      </rPr>
      <t xml:space="preserve">(2024, +11%, </t>
    </r>
    <r>
      <rPr>
        <sz val="10"/>
        <color rgb="FF000000"/>
        <rFont val="WenQuanYi Zen Hei"/>
        <family val="2"/>
      </rPr>
      <t xml:space="preserve">대부분 청소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잔디</t>
    </r>
    <r>
      <rPr>
        <sz val="10"/>
        <color rgb="FF000000"/>
        <rFont val="Arial"/>
        <family val="0"/>
        <charset val="1"/>
      </rPr>
      <t xml:space="preserve">) / </t>
    </r>
    <r>
      <rPr>
        <sz val="10"/>
        <color rgb="FF000000"/>
        <rFont val="WenQuanYi Zen Hei"/>
        <family val="2"/>
      </rPr>
      <t xml:space="preserve">전문 서비스로봇 약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만대 </t>
    </r>
    <r>
      <rPr>
        <sz val="10"/>
        <color rgb="FF000000"/>
        <rFont val="Arial"/>
        <family val="0"/>
        <charset val="1"/>
      </rPr>
      <t xml:space="preserve">(+9%)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</si>
  <si>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판매</t>
    </r>
  </si>
  <si>
    <t xml:space="preserve">https://ifr.org/ifr-press-releases/news/service-robots-see-global-growth-boom</t>
  </si>
  <si>
    <t xml:space="preserve">Robot Density (IFR World Robotics 2024)</t>
  </si>
  <si>
    <r>
      <rPr>
        <sz val="10"/>
        <color rgb="FF000000"/>
        <rFont val="WenQuanYi Zen Hei"/>
        <family val="2"/>
      </rPr>
      <t xml:space="preserve">한국 제조업 근로자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만명당 </t>
    </r>
    <r>
      <rPr>
        <sz val="10"/>
        <color rgb="FF000000"/>
        <rFont val="Arial"/>
        <family val="0"/>
        <charset val="1"/>
      </rPr>
      <t xml:space="preserve">1,012</t>
    </r>
    <r>
      <rPr>
        <sz val="10"/>
        <color rgb="FF000000"/>
        <rFont val="WenQuanYi Zen Hei"/>
        <family val="2"/>
      </rPr>
      <t xml:space="preserve">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세계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위</t>
    </r>
    <r>
      <rPr>
        <sz val="10"/>
        <color rgb="FF000000"/>
        <rFont val="Arial"/>
        <family val="0"/>
        <charset val="1"/>
      </rPr>
      <t xml:space="preserve">, 2023)</t>
    </r>
  </si>
  <si>
    <t xml:space="preserve">IFR</t>
  </si>
  <si>
    <t xml:space="preserve">https://www.koreaherald.com/article/10011543</t>
  </si>
  <si>
    <t xml:space="preserve">ISO 10218-1/-2:2025</t>
  </si>
  <si>
    <r>
      <rPr>
        <sz val="10"/>
        <color rgb="FF000000"/>
        <rFont val="Arial"/>
        <family val="0"/>
        <charset val="1"/>
      </rPr>
      <t xml:space="preserve">2025.2 </t>
    </r>
    <r>
      <rPr>
        <sz val="10"/>
        <color rgb="FF000000"/>
        <rFont val="WenQuanYi Zen Hei"/>
        <family val="2"/>
      </rPr>
      <t xml:space="preserve">발행</t>
    </r>
    <r>
      <rPr>
        <sz val="10"/>
        <color rgb="FF000000"/>
        <rFont val="Arial"/>
        <family val="0"/>
        <charset val="1"/>
      </rPr>
      <t xml:space="preserve">. ISO/TS 15066 (PFL·SSM) </t>
    </r>
    <r>
      <rPr>
        <sz val="10"/>
        <color rgb="FF000000"/>
        <rFont val="WenQuanYi Zen Hei"/>
        <family val="2"/>
      </rPr>
      <t xml:space="preserve">요구사항을 본문에 통합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기능안전</t>
    </r>
    <r>
      <rPr>
        <sz val="10"/>
        <color rgb="FF000000"/>
        <rFont val="Arial"/>
        <family val="0"/>
        <charset val="1"/>
      </rPr>
      <t xml:space="preserve">·Cybersecurity </t>
    </r>
    <r>
      <rPr>
        <sz val="10"/>
        <color rgb="FF000000"/>
        <rFont val="WenQuanYi Zen Hei"/>
        <family val="2"/>
      </rPr>
      <t xml:space="preserve">강화</t>
    </r>
  </si>
  <si>
    <t xml:space="preserve">표준</t>
  </si>
  <si>
    <t xml:space="preserve">https://www.sick.com/kr/ko/w/blog-robotic-norm-iso10218 , https://www.evsint.com/industrial-robot-safety-standards-iso-10218-ce-marking-2026/</t>
  </si>
  <si>
    <t xml:space="preserve">TIPS 2026</t>
  </si>
  <si>
    <r>
      <rPr>
        <sz val="10"/>
        <color rgb="FF000000"/>
        <rFont val="WenQuanYi Zen Hei"/>
        <family val="2"/>
      </rPr>
      <t xml:space="preserve">일반 </t>
    </r>
    <r>
      <rPr>
        <sz val="10"/>
        <color rgb="FF000000"/>
        <rFont val="Arial"/>
        <family val="0"/>
        <charset val="1"/>
      </rPr>
      <t xml:space="preserve">TIPS R&amp;D </t>
    </r>
    <r>
      <rPr>
        <sz val="10"/>
        <color rgb="FF000000"/>
        <rFont val="WenQuanYi Zen Hei"/>
        <family val="2"/>
      </rPr>
      <t xml:space="preserve">최대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억원</t>
    </r>
    <r>
      <rPr>
        <sz val="10"/>
        <color rgb="FF000000"/>
        <rFont val="Arial"/>
        <family val="0"/>
        <charset val="1"/>
      </rPr>
      <t xml:space="preserve">·24</t>
    </r>
    <r>
      <rPr>
        <sz val="10"/>
        <color rgb="FF000000"/>
        <rFont val="WenQuanYi Zen Hei"/>
        <family val="2"/>
      </rPr>
      <t xml:space="preserve">개월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딥테크 </t>
    </r>
    <r>
      <rPr>
        <sz val="10"/>
        <color rgb="FF000000"/>
        <rFont val="Arial"/>
        <family val="0"/>
        <charset val="1"/>
      </rPr>
      <t xml:space="preserve">TIPS </t>
    </r>
    <r>
      <rPr>
        <sz val="10"/>
        <color rgb="FF000000"/>
        <rFont val="WenQuanYi Zen Hei"/>
        <family val="2"/>
      </rPr>
      <t xml:space="preserve">최대 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억원</t>
    </r>
    <r>
      <rPr>
        <sz val="10"/>
        <color rgb="FF000000"/>
        <rFont val="Arial"/>
        <family val="0"/>
        <charset val="1"/>
      </rPr>
      <t xml:space="preserve">·36</t>
    </r>
    <r>
      <rPr>
        <sz val="10"/>
        <color rgb="FF000000"/>
        <rFont val="WenQuanYi Zen Hei"/>
        <family val="2"/>
      </rPr>
      <t xml:space="preserve">개월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요건 별도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</si>
  <si>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중소벤처기업부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공고</t>
    </r>
  </si>
  <si>
    <t xml:space="preserve">https://www.unicornfactory.co.kr/article/2026012511000214016 , https://www.venturesquare.net/announcement/1035119</t>
  </si>
  <si>
    <t xml:space="preserve">식기세척기 보급률</t>
  </si>
  <si>
    <r>
      <rPr>
        <sz val="10"/>
        <color rgb="FF000000"/>
        <rFont val="Arial"/>
        <family val="0"/>
        <charset val="1"/>
      </rPr>
      <t xml:space="preserve">2019~2020 </t>
    </r>
    <r>
      <rPr>
        <sz val="10"/>
        <color rgb="FF000000"/>
        <rFont val="WenQuanYi Zen Hei"/>
        <family val="2"/>
      </rPr>
      <t xml:space="preserve">업계 추정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대 초반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최신 공식 통계 확인 안 됨 → </t>
    </r>
    <r>
      <rPr>
        <sz val="10"/>
        <color rgb="FF000000"/>
        <rFont val="Arial"/>
        <family val="0"/>
        <charset val="1"/>
      </rPr>
      <t xml:space="preserve">TO BE VALIDATED)</t>
    </r>
  </si>
  <si>
    <t xml:space="preserve">업계 추정 보도</t>
  </si>
  <si>
    <t xml:space="preserve">https://www.etoday.co.kr/news/view/1789343</t>
  </si>
  <si>
    <r>
      <rPr>
        <sz val="10"/>
        <color rgb="FF000000"/>
        <rFont val="Arial"/>
        <family val="0"/>
        <charset val="1"/>
      </rPr>
      <t xml:space="preserve">ISO 13482 (Personal Care Robot) </t>
    </r>
    <r>
      <rPr>
        <sz val="10"/>
        <color rgb="FF000000"/>
        <rFont val="WenQuanYi Zen Hei"/>
        <family val="2"/>
      </rPr>
      <t xml:space="preserve">국내 인증 사례</t>
    </r>
  </si>
  <si>
    <r>
      <rPr>
        <sz val="10"/>
        <color rgb="FF000000"/>
        <rFont val="WenQuanYi Zen Hei"/>
        <family val="2"/>
      </rPr>
      <t xml:space="preserve">유진로봇 </t>
    </r>
    <r>
      <rPr>
        <sz val="10"/>
        <color rgb="FF000000"/>
        <rFont val="Arial"/>
        <family val="0"/>
        <charset val="1"/>
      </rPr>
      <t xml:space="preserve">GoCart, </t>
    </r>
    <r>
      <rPr>
        <sz val="10"/>
        <color rgb="FF000000"/>
        <rFont val="WenQuanYi Zen Hei"/>
        <family val="2"/>
      </rPr>
      <t xml:space="preserve">국내 첫 </t>
    </r>
    <r>
      <rPr>
        <sz val="10"/>
        <color rgb="FF000000"/>
        <rFont val="Arial"/>
        <family val="0"/>
        <charset val="1"/>
      </rPr>
      <t xml:space="preserve">ISO 13482 </t>
    </r>
    <r>
      <rPr>
        <sz val="10"/>
        <color rgb="FF000000"/>
        <rFont val="WenQuanYi Zen Hei"/>
        <family val="2"/>
      </rPr>
      <t xml:space="preserve">인증 </t>
    </r>
    <r>
      <rPr>
        <sz val="10"/>
        <color rgb="FF000000"/>
        <rFont val="Arial"/>
        <family val="0"/>
        <charset val="1"/>
      </rPr>
      <t xml:space="preserve">AMR</t>
    </r>
  </si>
  <si>
    <t xml:space="preserve">회사 발표</t>
  </si>
  <si>
    <t xml:space="preserve">https://yujinrobot.com/blog/yujin-robots-gocart-becomes-koreas-first-iso-13482-safety-certified-autonomous-mobile-robot</t>
  </si>
  <si>
    <t xml:space="preserve">가정용 로봇 인증 동향</t>
  </si>
  <si>
    <r>
      <rPr>
        <sz val="10"/>
        <color rgb="FF000000"/>
        <rFont val="WenQuanYi Zen Hei"/>
        <family val="2"/>
      </rPr>
      <t xml:space="preserve">반려로봇 </t>
    </r>
    <r>
      <rPr>
        <sz val="10"/>
        <color rgb="FF000000"/>
        <rFont val="Arial"/>
        <family val="0"/>
        <charset val="1"/>
      </rPr>
      <t xml:space="preserve">KS </t>
    </r>
    <r>
      <rPr>
        <sz val="10"/>
        <color rgb="FF000000"/>
        <rFont val="WenQuanYi Zen Hei"/>
        <family val="2"/>
      </rPr>
      <t xml:space="preserve">인증 도입 </t>
    </r>
    <r>
      <rPr>
        <sz val="10"/>
        <color rgb="FF000000"/>
        <rFont val="Arial"/>
        <family val="0"/>
        <charset val="1"/>
      </rPr>
      <t xml:space="preserve">(2026.4, </t>
    </r>
    <r>
      <rPr>
        <sz val="10"/>
        <color rgb="FF000000"/>
        <rFont val="WenQuanYi Zen Hei"/>
        <family val="2"/>
      </rPr>
      <t xml:space="preserve">정부</t>
    </r>
    <r>
      <rPr>
        <sz val="10"/>
        <color rgb="FF000000"/>
        <rFont val="Arial"/>
        <family val="0"/>
        <charset val="1"/>
      </rPr>
      <t xml:space="preserve">)</t>
    </r>
  </si>
  <si>
    <t xml:space="preserve">https://news.mtn.co.kr/news-detail/2026042014042480949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</si>
</sst>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;\(#,##0.0\);\-"/>
    <numFmt numFmtId="166" formatCode="0.0%;\(0.0%\);\-"/>
    <numFmt numFmtId="167" formatCode="#,##0;\(#,##0\);\-"/>
    <numFmt numFmtId="168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b val="true"/>
      <sz val="14"/>
      <name val="WenQuanYi Zen Hei"/>
      <family val="2"/>
    </font>
    <font>
      <sz val="11"/>
      <color theme="1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5171A"/>
        <bgColor rgb="FF000000"/>
      </patternFill>
    </fill>
    <fill>
      <patternFill patternType="solid">
        <fgColor rgb="FFF4F5F6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5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517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B6" s="5" t="s">
        <v>3</v>
      </c>
    </row>
    <row r="7" customFormat="false" ht="25.35" hidden="false" customHeight="false" outlineLevel="0" collapsed="false">
      <c r="B7" s="3" t="s">
        <v>4</v>
      </c>
    </row>
    <row r="8" customFormat="false" ht="15" hidden="false" customHeight="false" outlineLevel="0" collapsed="false">
      <c r="B8" s="5" t="s">
        <v>5</v>
      </c>
    </row>
    <row r="9" customFormat="false" ht="26.8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2" t="s">
        <v>8</v>
      </c>
    </row>
    <row r="12" customFormat="false" ht="1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 t="s">
        <v>10</v>
      </c>
    </row>
    <row r="14" customFormat="false" ht="15" hidden="false" customHeight="false" outlineLevel="0" collapsed="false">
      <c r="B14" s="2" t="s">
        <v>11</v>
      </c>
    </row>
    <row r="15" customFormat="false" ht="15" hidden="false" customHeight="false" outlineLevel="0" collapsed="false">
      <c r="B15" s="2" t="s">
        <v>12</v>
      </c>
    </row>
    <row r="16" customFormat="false" ht="15" hidden="false" customHeight="false" outlineLevel="0" collapsed="false">
      <c r="B16" s="2" t="s">
        <v>13</v>
      </c>
    </row>
    <row r="17" customFormat="false" ht="15" hidden="false" customHeight="false" outlineLevel="0" collapsed="false">
      <c r="B17" s="2" t="s">
        <v>14</v>
      </c>
    </row>
    <row r="18" customFormat="false" ht="15" hidden="false" customHeight="false" outlineLevel="0" collapsed="false">
      <c r="B18" s="2" t="s">
        <v>15</v>
      </c>
    </row>
    <row r="19" customFormat="false" ht="15" hidden="false" customHeight="false" outlineLevel="0" collapsed="false">
      <c r="B19" s="2" t="s">
        <v>16</v>
      </c>
    </row>
    <row r="20" customFormat="false" ht="15" hidden="false" customHeight="false" outlineLevel="0" collapsed="false">
      <c r="B20" s="2" t="s">
        <v>17</v>
      </c>
    </row>
    <row r="21" customFormat="false" ht="15" hidden="false" customHeight="false" outlineLevel="0" collapsed="false">
      <c r="B21" s="2"/>
    </row>
    <row r="22" customFormat="false" ht="15" hidden="false" customHeight="false" outlineLevel="0" collapsed="false">
      <c r="B22" s="2" t="s">
        <v>18</v>
      </c>
    </row>
    <row r="23" customFormat="false" ht="15" hidden="false" customHeight="false" outlineLevel="0" collapsed="false">
      <c r="B2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7" min="3" style="0" width="12"/>
  </cols>
  <sheetData>
    <row r="1" customFormat="false" ht="19.4" hidden="false" customHeight="false" outlineLevel="0" collapsed="false">
      <c r="A1" s="6" t="s">
        <v>20</v>
      </c>
    </row>
    <row r="2" customFormat="false" ht="15" hidden="false" customHeight="false" outlineLevel="0" collapsed="false">
      <c r="A2" s="7" t="s">
        <v>21</v>
      </c>
    </row>
    <row r="4" customFormat="false" ht="15" hidden="false" customHeight="false" outlineLevel="0" collapsed="false">
      <c r="A4" s="8" t="s">
        <v>22</v>
      </c>
      <c r="B4" s="9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</row>
    <row r="5" customFormat="false" ht="15" hidden="false" customHeight="false" outlineLevel="0" collapsed="false">
      <c r="A5" s="10" t="s">
        <v>29</v>
      </c>
      <c r="B5" s="10" t="s">
        <v>30</v>
      </c>
      <c r="C5" s="11" t="n">
        <f aca="false">FM_Conservative!$C$41/10000</f>
        <v>0</v>
      </c>
      <c r="D5" s="11" t="n">
        <f aca="false">FM_Conservative!$D$41/10000</f>
        <v>0.14508</v>
      </c>
      <c r="E5" s="11" t="n">
        <f aca="false">FM_Conservative!$E$41/10000</f>
        <v>3.609345</v>
      </c>
      <c r="F5" s="11" t="n">
        <f aca="false">FM_Conservative!$F$41/10000</f>
        <v>13.7945504375</v>
      </c>
      <c r="G5" s="11" t="n">
        <f aca="false">FM_Conservative!$G$41/10000</f>
        <v>27.786232790625</v>
      </c>
    </row>
    <row r="6" customFormat="false" ht="15" hidden="false" customHeight="false" outlineLevel="0" collapsed="false">
      <c r="A6" s="10" t="s">
        <v>31</v>
      </c>
      <c r="B6" s="10" t="s">
        <v>30</v>
      </c>
      <c r="C6" s="11" t="n">
        <f aca="false">FM_Conservative!$C$59/10000</f>
        <v>0</v>
      </c>
      <c r="D6" s="11" t="n">
        <f aca="false">FM_Conservative!$D$59/10000</f>
        <v>-0.32554485</v>
      </c>
      <c r="E6" s="11" t="n">
        <f aca="false">FM_Conservative!$E$59/10000</f>
        <v>0.164998049999999</v>
      </c>
      <c r="F6" s="11" t="n">
        <f aca="false">FM_Conservative!$F$59/10000</f>
        <v>1.113616721875</v>
      </c>
      <c r="G6" s="11" t="n">
        <f aca="false">FM_Conservative!$G$59/10000</f>
        <v>3.98912883984375</v>
      </c>
    </row>
    <row r="7" customFormat="false" ht="15" hidden="false" customHeight="false" outlineLevel="0" collapsed="false">
      <c r="A7" s="10" t="s">
        <v>32</v>
      </c>
      <c r="B7" s="12" t="s">
        <v>33</v>
      </c>
      <c r="C7" s="13" t="n">
        <f aca="false">FM_Conservative!$C$60</f>
        <v>0</v>
      </c>
      <c r="D7" s="13" t="n">
        <f aca="false">FM_Conservative!$D$60</f>
        <v>-2.24389888337469</v>
      </c>
      <c r="E7" s="13" t="n">
        <f aca="false">FM_Conservative!$E$60</f>
        <v>0.0457141254161071</v>
      </c>
      <c r="F7" s="13" t="n">
        <f aca="false">FM_Conservative!$F$60</f>
        <v>0.0807287433483642</v>
      </c>
      <c r="G7" s="13" t="n">
        <f aca="false">FM_Conservative!$G$60</f>
        <v>0.143564939871578</v>
      </c>
    </row>
    <row r="8" customFormat="false" ht="15" hidden="false" customHeight="false" outlineLevel="0" collapsed="false">
      <c r="A8" s="12" t="s">
        <v>34</v>
      </c>
      <c r="B8" s="10" t="s">
        <v>30</v>
      </c>
      <c r="C8" s="11" t="n">
        <f aca="false">FM_Conservative!$C$65/10000</f>
        <v>0</v>
      </c>
      <c r="D8" s="11" t="n">
        <f aca="false">FM_Conservative!$D$65/10000</f>
        <v>-0.37954485</v>
      </c>
      <c r="E8" s="11" t="n">
        <f aca="false">FM_Conservative!$E$65/10000</f>
        <v>-0.366301950000001</v>
      </c>
      <c r="F8" s="11" t="n">
        <f aca="false">FM_Conservative!$F$65/10000</f>
        <v>-0.744183278124998</v>
      </c>
      <c r="G8" s="11" t="n">
        <f aca="false">FM_Conservative!$G$65/10000</f>
        <v>0.299628839843746</v>
      </c>
    </row>
    <row r="9" customFormat="false" ht="15" hidden="false" customHeight="false" outlineLevel="0" collapsed="false">
      <c r="A9" s="12" t="s">
        <v>35</v>
      </c>
      <c r="B9" s="10" t="s">
        <v>30</v>
      </c>
      <c r="C9" s="11" t="n">
        <f aca="false">FM_Conservative!$C$68/10000</f>
        <v>6.69</v>
      </c>
      <c r="D9" s="11" t="n">
        <f aca="false">FM_Conservative!$D$68/10000</f>
        <v>8.7</v>
      </c>
      <c r="E9" s="11" t="n">
        <f aca="false">FM_Conservative!$E$68/10000</f>
        <v>30.5</v>
      </c>
      <c r="F9" s="11" t="n">
        <f aca="false">FM_Conservative!$F$68/10000</f>
        <v>43.9</v>
      </c>
      <c r="G9" s="11" t="n">
        <f aca="false">FM_Conservative!$G$68/10000</f>
        <v>56.7</v>
      </c>
    </row>
    <row r="10" customFormat="false" ht="15" hidden="false" customHeight="false" outlineLevel="0" collapsed="false">
      <c r="A10" s="10" t="s">
        <v>36</v>
      </c>
      <c r="B10" s="10" t="s">
        <v>30</v>
      </c>
      <c r="C10" s="11" t="n">
        <f aca="false">FM_Conservative!$C$69/10000</f>
        <v>-6.69</v>
      </c>
      <c r="D10" s="11" t="n">
        <f aca="false">FM_Conservative!$D$69/10000</f>
        <v>-9.07954485</v>
      </c>
      <c r="E10" s="11" t="n">
        <f aca="false">FM_Conservative!$E$69/10000</f>
        <v>-30.86630195</v>
      </c>
      <c r="F10" s="11" t="n">
        <f aca="false">FM_Conservative!$F$69/10000</f>
        <v>-44.644183278125</v>
      </c>
      <c r="G10" s="11" t="n">
        <f aca="false">FM_Conservative!$G$69/10000</f>
        <v>-56.4003711601563</v>
      </c>
    </row>
    <row r="11" customFormat="false" ht="15" hidden="false" customHeight="false" outlineLevel="0" collapsed="false">
      <c r="A11" s="10" t="s">
        <v>37</v>
      </c>
      <c r="B11" s="10" t="s">
        <v>30</v>
      </c>
      <c r="C11" s="11" t="n">
        <f aca="false">FM_Conservative!$C$71/10000</f>
        <v>-6.69</v>
      </c>
      <c r="D11" s="11" t="n">
        <f aca="false">FM_Conservative!$D$71/10000</f>
        <v>-15.89306985</v>
      </c>
      <c r="E11" s="11" t="n">
        <f aca="false">FM_Conservative!$E$71/10000</f>
        <v>-47.5393343</v>
      </c>
      <c r="F11" s="11" t="n">
        <f aca="false">FM_Conservative!$F$71/10000</f>
        <v>-92.011392578125</v>
      </c>
      <c r="G11" s="11" t="n">
        <f aca="false">FM_Conservative!$G$71/10000</f>
        <v>-148.239638738281</v>
      </c>
    </row>
    <row r="12" customFormat="false" ht="15" hidden="false" customHeight="false" outlineLevel="0" collapsed="false">
      <c r="A12" s="12" t="s">
        <v>38</v>
      </c>
      <c r="B12" s="10" t="s">
        <v>39</v>
      </c>
      <c r="C12" s="14" t="n">
        <f aca="false">FM_Conservative!$C$8</f>
        <v>0</v>
      </c>
      <c r="D12" s="14" t="n">
        <f aca="false">FM_Conservative!$D$8</f>
        <v>3</v>
      </c>
      <c r="E12" s="14" t="n">
        <f aca="false">FM_Conservative!$E$8</f>
        <v>30</v>
      </c>
      <c r="F12" s="14" t="n">
        <f aca="false">FM_Conservative!$F$8</f>
        <v>95</v>
      </c>
      <c r="G12" s="14" t="n">
        <f aca="false">FM_Conservative!$G$8</f>
        <v>190</v>
      </c>
    </row>
    <row r="13" customFormat="false" ht="15" hidden="false" customHeight="false" outlineLevel="0" collapsed="false">
      <c r="A13" s="12" t="s">
        <v>40</v>
      </c>
      <c r="B13" s="10" t="s">
        <v>41</v>
      </c>
      <c r="C13" s="14" t="n">
        <f aca="false">FM_Conservative!$C$13</f>
        <v>0</v>
      </c>
      <c r="D13" s="14" t="n">
        <f aca="false">FM_Conservative!$D$13</f>
        <v>3</v>
      </c>
      <c r="E13" s="14" t="n">
        <f aca="false">FM_Conservative!$E$13</f>
        <v>22.5</v>
      </c>
      <c r="F13" s="14" t="n">
        <f aca="false">FM_Conservative!$F$13</f>
        <v>71.625</v>
      </c>
      <c r="G13" s="14" t="n">
        <f aca="false">FM_Conservative!$G$13</f>
        <v>144.04375</v>
      </c>
    </row>
    <row r="14" customFormat="false" ht="15" hidden="false" customHeight="false" outlineLevel="0" collapsed="false">
      <c r="A14" s="12" t="s">
        <v>42</v>
      </c>
      <c r="B14" s="10" t="s">
        <v>41</v>
      </c>
      <c r="C14" s="14" t="n">
        <f aca="false">FM_Conservative!$C$27</f>
        <v>0</v>
      </c>
      <c r="D14" s="14" t="n">
        <f aca="false">FM_Conservative!$D$27</f>
        <v>3</v>
      </c>
      <c r="E14" s="14" t="n">
        <f aca="false">FM_Conservative!$E$27</f>
        <v>25.5</v>
      </c>
      <c r="F14" s="14" t="n">
        <f aca="false">FM_Conservative!$F$27</f>
        <v>97.125</v>
      </c>
      <c r="G14" s="14" t="n">
        <f aca="false">FM_Conservative!$G$27</f>
        <v>241.16875</v>
      </c>
    </row>
    <row r="15" customFormat="false" ht="15" hidden="false" customHeight="false" outlineLevel="0" collapsed="false">
      <c r="A15" s="10" t="s">
        <v>43</v>
      </c>
      <c r="B15" s="10" t="s">
        <v>39</v>
      </c>
      <c r="C15" s="14" t="n">
        <f aca="false">FM_Conservative!$C$28</f>
        <v>0</v>
      </c>
      <c r="D15" s="14" t="n">
        <f aca="false">FM_Conservative!$D$28</f>
        <v>0</v>
      </c>
      <c r="E15" s="14" t="n">
        <f aca="false">FM_Conservative!$E$28</f>
        <v>0</v>
      </c>
      <c r="F15" s="14" t="n">
        <f aca="false">FM_Conservative!$F$28</f>
        <v>48</v>
      </c>
      <c r="G15" s="14" t="n">
        <f aca="false">FM_Conservative!$G$28</f>
        <v>144</v>
      </c>
    </row>
    <row r="16" customFormat="false" ht="15" hidden="false" customHeight="false" outlineLevel="0" collapsed="false">
      <c r="A16" s="12" t="s">
        <v>44</v>
      </c>
      <c r="B16" s="12" t="s">
        <v>33</v>
      </c>
      <c r="C16" s="13" t="n">
        <f aca="false">FM_Conservative!$C$75</f>
        <v>0</v>
      </c>
      <c r="D16" s="13" t="n">
        <f aca="false">FM_Conservative!$D$75</f>
        <v>0.702233250620348</v>
      </c>
      <c r="E16" s="13" t="n">
        <f aca="false">FM_Conservative!$E$75</f>
        <v>0.617659159764445</v>
      </c>
      <c r="F16" s="13" t="n">
        <f aca="false">FM_Conservative!$F$75</f>
        <v>0.68299075639956</v>
      </c>
      <c r="G16" s="13" t="n">
        <f aca="false">FM_Conservative!$G$75</f>
        <v>0.685011276413368</v>
      </c>
    </row>
    <row r="18" customFormat="false" ht="15" hidden="false" customHeight="false" outlineLevel="0" collapsed="false">
      <c r="A18" s="8" t="s">
        <v>45</v>
      </c>
      <c r="B18" s="9" t="s">
        <v>23</v>
      </c>
      <c r="C18" s="8" t="s">
        <v>24</v>
      </c>
      <c r="D18" s="8" t="s">
        <v>25</v>
      </c>
      <c r="E18" s="8" t="s">
        <v>26</v>
      </c>
      <c r="F18" s="8" t="s">
        <v>27</v>
      </c>
      <c r="G18" s="8" t="s">
        <v>28</v>
      </c>
    </row>
    <row r="19" customFormat="false" ht="15" hidden="false" customHeight="false" outlineLevel="0" collapsed="false">
      <c r="A19" s="10" t="s">
        <v>29</v>
      </c>
      <c r="B19" s="10" t="s">
        <v>30</v>
      </c>
      <c r="C19" s="11" t="n">
        <f aca="false">FM_Base!$C$41/10000</f>
        <v>0</v>
      </c>
      <c r="D19" s="11" t="n">
        <f aca="false">FM_Base!$D$41/10000</f>
        <v>0.260511</v>
      </c>
      <c r="E19" s="11" t="n">
        <f aca="false">FM_Base!$E$41/10000</f>
        <v>7.4234195</v>
      </c>
      <c r="F19" s="11" t="n">
        <f aca="false">FM_Base!$F$41/10000</f>
        <v>32.472507</v>
      </c>
      <c r="G19" s="11" t="n">
        <f aca="false">FM_Base!$G$41/10000</f>
        <v>77.544078</v>
      </c>
    </row>
    <row r="20" customFormat="false" ht="15" hidden="false" customHeight="false" outlineLevel="0" collapsed="false">
      <c r="A20" s="10" t="s">
        <v>31</v>
      </c>
      <c r="B20" s="10" t="s">
        <v>30</v>
      </c>
      <c r="C20" s="11" t="n">
        <f aca="false">FM_Base!$C$59/10000</f>
        <v>0</v>
      </c>
      <c r="D20" s="11" t="n">
        <f aca="false">FM_Base!$D$59/10000</f>
        <v>-0.19508235</v>
      </c>
      <c r="E20" s="11" t="n">
        <f aca="false">FM_Base!$E$59/10000</f>
        <v>1.819420175</v>
      </c>
      <c r="F20" s="11" t="n">
        <f aca="false">FM_Base!$F$59/10000</f>
        <v>9.817572475</v>
      </c>
      <c r="G20" s="11" t="n">
        <f aca="false">FM_Base!$G$59/10000</f>
        <v>27.87217897</v>
      </c>
    </row>
    <row r="21" customFormat="false" ht="15" hidden="false" customHeight="false" outlineLevel="0" collapsed="false">
      <c r="A21" s="10" t="s">
        <v>32</v>
      </c>
      <c r="B21" s="12" t="s">
        <v>33</v>
      </c>
      <c r="C21" s="13" t="n">
        <f aca="false">FM_Base!$C$60</f>
        <v>0</v>
      </c>
      <c r="D21" s="13" t="n">
        <f aca="false">FM_Base!$D$60</f>
        <v>-0.74884496240082</v>
      </c>
      <c r="E21" s="13" t="n">
        <f aca="false">FM_Base!$E$60</f>
        <v>0.245091924954531</v>
      </c>
      <c r="F21" s="13" t="n">
        <f aca="false">FM_Base!$F$60</f>
        <v>0.302334909805393</v>
      </c>
      <c r="G21" s="13" t="n">
        <f aca="false">FM_Base!$G$60</f>
        <v>0.359436589986923</v>
      </c>
    </row>
    <row r="22" customFormat="false" ht="15" hidden="false" customHeight="false" outlineLevel="0" collapsed="false">
      <c r="A22" s="12" t="s">
        <v>34</v>
      </c>
      <c r="B22" s="10" t="s">
        <v>30</v>
      </c>
      <c r="C22" s="11" t="n">
        <f aca="false">FM_Base!$C$65/10000</f>
        <v>0</v>
      </c>
      <c r="D22" s="11" t="n">
        <f aca="false">FM_Base!$D$65/10000</f>
        <v>-0.24008235</v>
      </c>
      <c r="E22" s="11" t="n">
        <f aca="false">FM_Base!$E$65/10000</f>
        <v>0.812520175000002</v>
      </c>
      <c r="F22" s="11" t="n">
        <f aca="false">FM_Base!$F$65/10000</f>
        <v>6.347722475</v>
      </c>
      <c r="G22" s="11" t="n">
        <f aca="false">FM_Base!$G$65/10000</f>
        <v>20.30487897</v>
      </c>
    </row>
    <row r="23" customFormat="false" ht="15" hidden="false" customHeight="false" outlineLevel="0" collapsed="false">
      <c r="A23" s="12" t="s">
        <v>35</v>
      </c>
      <c r="B23" s="10" t="s">
        <v>30</v>
      </c>
      <c r="C23" s="11" t="n">
        <f aca="false">FM_Base!$C$68/10000</f>
        <v>6.69</v>
      </c>
      <c r="D23" s="11" t="n">
        <f aca="false">FM_Base!$D$68/10000</f>
        <v>8.7</v>
      </c>
      <c r="E23" s="11" t="n">
        <f aca="false">FM_Base!$E$68/10000</f>
        <v>30.5</v>
      </c>
      <c r="F23" s="11" t="n">
        <f aca="false">FM_Base!$F$68/10000</f>
        <v>43.9</v>
      </c>
      <c r="G23" s="11" t="n">
        <f aca="false">FM_Base!$G$68/10000</f>
        <v>56.7</v>
      </c>
    </row>
    <row r="24" customFormat="false" ht="15" hidden="false" customHeight="false" outlineLevel="0" collapsed="false">
      <c r="A24" s="10" t="s">
        <v>36</v>
      </c>
      <c r="B24" s="10" t="s">
        <v>30</v>
      </c>
      <c r="C24" s="11" t="n">
        <f aca="false">FM_Base!$C$69/10000</f>
        <v>-6.69</v>
      </c>
      <c r="D24" s="11" t="n">
        <f aca="false">FM_Base!$D$69/10000</f>
        <v>-8.94008235</v>
      </c>
      <c r="E24" s="11" t="n">
        <f aca="false">FM_Base!$E$69/10000</f>
        <v>-29.687479825</v>
      </c>
      <c r="F24" s="11" t="n">
        <f aca="false">FM_Base!$F$69/10000</f>
        <v>-37.552277525</v>
      </c>
      <c r="G24" s="11" t="n">
        <f aca="false">FM_Base!$G$69/10000</f>
        <v>-36.39512103</v>
      </c>
    </row>
    <row r="25" customFormat="false" ht="15" hidden="false" customHeight="false" outlineLevel="0" collapsed="false">
      <c r="A25" s="10" t="s">
        <v>37</v>
      </c>
      <c r="B25" s="10" t="s">
        <v>30</v>
      </c>
      <c r="C25" s="11" t="n">
        <f aca="false">FM_Base!$C$71/10000</f>
        <v>-6.69</v>
      </c>
      <c r="D25" s="11" t="n">
        <f aca="false">FM_Base!$D$71/10000</f>
        <v>-15.74948985</v>
      </c>
      <c r="E25" s="11" t="n">
        <f aca="false">FM_Base!$E$71/10000</f>
        <v>-46.756403425</v>
      </c>
      <c r="F25" s="11" t="n">
        <f aca="false">FM_Base!$F$71/10000</f>
        <v>-84.03723345</v>
      </c>
      <c r="G25" s="11" t="n">
        <f aca="false">FM_Base!$G$71/10000</f>
        <v>-120.16090698</v>
      </c>
    </row>
    <row r="26" customFormat="false" ht="15" hidden="false" customHeight="false" outlineLevel="0" collapsed="false">
      <c r="A26" s="12" t="s">
        <v>38</v>
      </c>
      <c r="B26" s="10" t="s">
        <v>39</v>
      </c>
      <c r="C26" s="14" t="n">
        <f aca="false">FM_Base!$C$8</f>
        <v>0</v>
      </c>
      <c r="D26" s="14" t="n">
        <f aca="false">FM_Base!$D$8</f>
        <v>3</v>
      </c>
      <c r="E26" s="14" t="n">
        <f aca="false">FM_Base!$E$8</f>
        <v>50</v>
      </c>
      <c r="F26" s="14" t="n">
        <f aca="false">FM_Base!$F$8</f>
        <v>180</v>
      </c>
      <c r="G26" s="14" t="n">
        <f aca="false">FM_Base!$G$8</f>
        <v>480</v>
      </c>
    </row>
    <row r="27" customFormat="false" ht="15" hidden="false" customHeight="false" outlineLevel="0" collapsed="false">
      <c r="A27" s="12" t="s">
        <v>40</v>
      </c>
      <c r="B27" s="10" t="s">
        <v>41</v>
      </c>
      <c r="C27" s="14" t="n">
        <f aca="false">FM_Base!$C$13</f>
        <v>0</v>
      </c>
      <c r="D27" s="14" t="n">
        <f aca="false">FM_Base!$D$13</f>
        <v>3</v>
      </c>
      <c r="E27" s="14" t="n">
        <f aca="false">FM_Base!$E$13</f>
        <v>42.5</v>
      </c>
      <c r="F27" s="14" t="n">
        <f aca="false">FM_Base!$F$13</f>
        <v>153.75</v>
      </c>
      <c r="G27" s="14" t="n">
        <f aca="false">FM_Base!$G$13</f>
        <v>363.375</v>
      </c>
    </row>
    <row r="28" customFormat="false" ht="15" hidden="false" customHeight="false" outlineLevel="0" collapsed="false">
      <c r="A28" s="12" t="s">
        <v>42</v>
      </c>
      <c r="B28" s="10" t="s">
        <v>41</v>
      </c>
      <c r="C28" s="14" t="n">
        <f aca="false">FM_Base!$C$27</f>
        <v>0</v>
      </c>
      <c r="D28" s="14" t="n">
        <f aca="false">FM_Base!$D$27</f>
        <v>3</v>
      </c>
      <c r="E28" s="14" t="n">
        <f aca="false">FM_Base!$E$27</f>
        <v>45.5</v>
      </c>
      <c r="F28" s="14" t="n">
        <f aca="false">FM_Base!$F$27</f>
        <v>199.25</v>
      </c>
      <c r="G28" s="14" t="n">
        <f aca="false">FM_Base!$G$27</f>
        <v>562.625</v>
      </c>
    </row>
    <row r="29" customFormat="false" ht="15" hidden="false" customHeight="false" outlineLevel="0" collapsed="false">
      <c r="A29" s="10" t="s">
        <v>43</v>
      </c>
      <c r="B29" s="10" t="s">
        <v>39</v>
      </c>
      <c r="C29" s="14" t="n">
        <f aca="false">FM_Base!$C$28</f>
        <v>0</v>
      </c>
      <c r="D29" s="14" t="n">
        <f aca="false">FM_Base!$D$28</f>
        <v>0</v>
      </c>
      <c r="E29" s="14" t="n">
        <f aca="false">FM_Base!$E$28</f>
        <v>80</v>
      </c>
      <c r="F29" s="14" t="n">
        <f aca="false">FM_Base!$F$28</f>
        <v>240</v>
      </c>
      <c r="G29" s="14" t="n">
        <f aca="false">FM_Base!$G$28</f>
        <v>400</v>
      </c>
    </row>
    <row r="30" customFormat="false" ht="15" hidden="false" customHeight="false" outlineLevel="0" collapsed="false">
      <c r="A30" s="12" t="s">
        <v>44</v>
      </c>
      <c r="B30" s="12" t="s">
        <v>33</v>
      </c>
      <c r="C30" s="13" t="n">
        <f aca="false">FM_Base!$C$75</f>
        <v>0</v>
      </c>
      <c r="D30" s="13" t="n">
        <f aca="false">FM_Base!$D$75</f>
        <v>0.69483054458353</v>
      </c>
      <c r="E30" s="13" t="n">
        <f aca="false">FM_Base!$E$75</f>
        <v>0.651104184533826</v>
      </c>
      <c r="F30" s="13" t="n">
        <f aca="false">FM_Base!$F$75</f>
        <v>0.712680021902836</v>
      </c>
      <c r="G30" s="13" t="n">
        <f aca="false">FM_Base!$G$75</f>
        <v>0.707688832150406</v>
      </c>
    </row>
    <row r="32" customFormat="false" ht="15" hidden="false" customHeight="false" outlineLevel="0" collapsed="false">
      <c r="A32" s="8" t="s">
        <v>46</v>
      </c>
      <c r="B32" s="9" t="s">
        <v>23</v>
      </c>
      <c r="C32" s="8" t="s">
        <v>24</v>
      </c>
      <c r="D32" s="8" t="s">
        <v>25</v>
      </c>
      <c r="E32" s="8" t="s">
        <v>26</v>
      </c>
      <c r="F32" s="8" t="s">
        <v>27</v>
      </c>
      <c r="G32" s="8" t="s">
        <v>28</v>
      </c>
    </row>
    <row r="33" customFormat="false" ht="15" hidden="false" customHeight="false" outlineLevel="0" collapsed="false">
      <c r="A33" s="10" t="s">
        <v>29</v>
      </c>
      <c r="B33" s="10" t="s">
        <v>30</v>
      </c>
      <c r="C33" s="11" t="n">
        <f aca="false">FM_Upside!$C$41/10000</f>
        <v>0</v>
      </c>
      <c r="D33" s="11" t="n">
        <f aca="false">FM_Upside!$D$41/10000</f>
        <v>0.307701</v>
      </c>
      <c r="E33" s="11" t="n">
        <f aca="false">FM_Upside!$E$41/10000</f>
        <v>9.63462875</v>
      </c>
      <c r="F33" s="11" t="n">
        <f aca="false">FM_Upside!$F$41/10000</f>
        <v>50.093411665</v>
      </c>
      <c r="G33" s="11" t="n">
        <f aca="false">FM_Upside!$G$41/10000</f>
        <v>133.9515036452</v>
      </c>
    </row>
    <row r="34" customFormat="false" ht="15" hidden="false" customHeight="false" outlineLevel="0" collapsed="false">
      <c r="A34" s="10" t="s">
        <v>31</v>
      </c>
      <c r="B34" s="10" t="s">
        <v>30</v>
      </c>
      <c r="C34" s="11" t="n">
        <f aca="false">FM_Upside!$C$59/10000</f>
        <v>0</v>
      </c>
      <c r="D34" s="11" t="n">
        <f aca="false">FM_Upside!$D$59/10000</f>
        <v>-0.13195176</v>
      </c>
      <c r="E34" s="11" t="n">
        <f aca="false">FM_Upside!$E$59/10000</f>
        <v>2.809274025</v>
      </c>
      <c r="F34" s="11" t="n">
        <f aca="false">FM_Upside!$F$59/10000</f>
        <v>17.6485466216</v>
      </c>
      <c r="G34" s="11" t="n">
        <f aca="false">FM_Upside!$G$59/10000</f>
        <v>56.239077712288</v>
      </c>
    </row>
    <row r="35" customFormat="false" ht="15" hidden="false" customHeight="false" outlineLevel="0" collapsed="false">
      <c r="A35" s="10" t="s">
        <v>32</v>
      </c>
      <c r="B35" s="12" t="s">
        <v>33</v>
      </c>
      <c r="C35" s="13" t="n">
        <f aca="false">FM_Upside!$C$60</f>
        <v>0</v>
      </c>
      <c r="D35" s="13" t="n">
        <f aca="false">FM_Upside!$D$60</f>
        <v>-0.428831105521269</v>
      </c>
      <c r="E35" s="13" t="n">
        <f aca="false">FM_Upside!$E$60</f>
        <v>0.291580931439626</v>
      </c>
      <c r="F35" s="13" t="n">
        <f aca="false">FM_Upside!$F$60</f>
        <v>0.352312730057692</v>
      </c>
      <c r="G35" s="13" t="n">
        <f aca="false">FM_Upside!$G$60</f>
        <v>0.419846557760558</v>
      </c>
    </row>
    <row r="36" customFormat="false" ht="15" hidden="false" customHeight="false" outlineLevel="0" collapsed="false">
      <c r="A36" s="12" t="s">
        <v>34</v>
      </c>
      <c r="B36" s="10" t="s">
        <v>30</v>
      </c>
      <c r="C36" s="11" t="n">
        <f aca="false">FM_Upside!$C$65/10000</f>
        <v>0</v>
      </c>
      <c r="D36" s="11" t="n">
        <f aca="false">FM_Upside!$D$65/10000</f>
        <v>-0.17395176</v>
      </c>
      <c r="E36" s="11" t="n">
        <f aca="false">FM_Upside!$E$65/10000</f>
        <v>1.437459025</v>
      </c>
      <c r="F36" s="11" t="n">
        <f aca="false">FM_Upside!$F$65/10000</f>
        <v>12.6752366216</v>
      </c>
      <c r="G36" s="11" t="n">
        <f aca="false">FM_Upside!$G$65/10000</f>
        <v>44.822777712288</v>
      </c>
    </row>
    <row r="37" customFormat="false" ht="15" hidden="false" customHeight="false" outlineLevel="0" collapsed="false">
      <c r="A37" s="12" t="s">
        <v>35</v>
      </c>
      <c r="B37" s="10" t="s">
        <v>30</v>
      </c>
      <c r="C37" s="11" t="n">
        <f aca="false">FM_Upside!$C$68/10000</f>
        <v>6.69</v>
      </c>
      <c r="D37" s="11" t="n">
        <f aca="false">FM_Upside!$D$68/10000</f>
        <v>8.7</v>
      </c>
      <c r="E37" s="11" t="n">
        <f aca="false">FM_Upside!$E$68/10000</f>
        <v>30.5</v>
      </c>
      <c r="F37" s="11" t="n">
        <f aca="false">FM_Upside!$F$68/10000</f>
        <v>43.9</v>
      </c>
      <c r="G37" s="11" t="n">
        <f aca="false">FM_Upside!$G$68/10000</f>
        <v>56.7</v>
      </c>
    </row>
    <row r="38" customFormat="false" ht="15" hidden="false" customHeight="false" outlineLevel="0" collapsed="false">
      <c r="A38" s="10" t="s">
        <v>36</v>
      </c>
      <c r="B38" s="10" t="s">
        <v>30</v>
      </c>
      <c r="C38" s="11" t="n">
        <f aca="false">FM_Upside!$C$69/10000</f>
        <v>-6.69</v>
      </c>
      <c r="D38" s="11" t="n">
        <f aca="false">FM_Upside!$D$69/10000</f>
        <v>-8.87395176</v>
      </c>
      <c r="E38" s="11" t="n">
        <f aca="false">FM_Upside!$E$69/10000</f>
        <v>-29.062540975</v>
      </c>
      <c r="F38" s="11" t="n">
        <f aca="false">FM_Upside!$F$69/10000</f>
        <v>-31.2247633784</v>
      </c>
      <c r="G38" s="11" t="n">
        <f aca="false">FM_Upside!$G$69/10000</f>
        <v>-11.877222287712</v>
      </c>
    </row>
    <row r="39" customFormat="false" ht="15" hidden="false" customHeight="false" outlineLevel="0" collapsed="false">
      <c r="A39" s="10" t="s">
        <v>37</v>
      </c>
      <c r="B39" s="10" t="s">
        <v>30</v>
      </c>
      <c r="C39" s="11" t="n">
        <f aca="false">FM_Upside!$C$71/10000</f>
        <v>-6.69</v>
      </c>
      <c r="D39" s="11" t="n">
        <f aca="false">FM_Upside!$D$71/10000</f>
        <v>-15.67924176</v>
      </c>
      <c r="E39" s="11" t="n">
        <f aca="false">FM_Upside!$E$71/10000</f>
        <v>-46.358304235</v>
      </c>
      <c r="F39" s="11" t="n">
        <f aca="false">FM_Upside!$F$71/10000</f>
        <v>-77.2573306134</v>
      </c>
      <c r="G39" s="11" t="n">
        <f aca="false">FM_Upside!$G$71/10000</f>
        <v>-88.808815901112</v>
      </c>
    </row>
    <row r="40" customFormat="false" ht="15" hidden="false" customHeight="false" outlineLevel="0" collapsed="false">
      <c r="A40" s="12" t="s">
        <v>38</v>
      </c>
      <c r="B40" s="10" t="s">
        <v>39</v>
      </c>
      <c r="C40" s="14" t="n">
        <f aca="false">FM_Upside!$C$8</f>
        <v>0</v>
      </c>
      <c r="D40" s="14" t="n">
        <f aca="false">FM_Upside!$D$8</f>
        <v>3</v>
      </c>
      <c r="E40" s="14" t="n">
        <f aca="false">FM_Upside!$E$8</f>
        <v>65</v>
      </c>
      <c r="F40" s="14" t="n">
        <f aca="false">FM_Upside!$F$8</f>
        <v>280</v>
      </c>
      <c r="G40" s="14" t="n">
        <f aca="false">FM_Upside!$G$8</f>
        <v>862</v>
      </c>
    </row>
    <row r="41" customFormat="false" ht="15" hidden="false" customHeight="false" outlineLevel="0" collapsed="false">
      <c r="A41" s="12" t="s">
        <v>40</v>
      </c>
      <c r="B41" s="10" t="s">
        <v>41</v>
      </c>
      <c r="C41" s="14" t="n">
        <f aca="false">FM_Upside!$C$13</f>
        <v>0</v>
      </c>
      <c r="D41" s="14" t="n">
        <f aca="false">FM_Upside!$D$13</f>
        <v>3</v>
      </c>
      <c r="E41" s="14" t="n">
        <f aca="false">FM_Upside!$E$13</f>
        <v>55.25</v>
      </c>
      <c r="F41" s="14" t="n">
        <f aca="false">FM_Upside!$F$13</f>
        <v>239.17</v>
      </c>
      <c r="G41" s="14" t="n">
        <f aca="false">FM_Upside!$G$13</f>
        <v>633.1696</v>
      </c>
    </row>
    <row r="42" customFormat="false" ht="15" hidden="false" customHeight="false" outlineLevel="0" collapsed="false">
      <c r="A42" s="12" t="s">
        <v>42</v>
      </c>
      <c r="B42" s="10" t="s">
        <v>41</v>
      </c>
      <c r="C42" s="14" t="n">
        <f aca="false">FM_Upside!$C$27</f>
        <v>0</v>
      </c>
      <c r="D42" s="14" t="n">
        <f aca="false">FM_Upside!$D$27</f>
        <v>3</v>
      </c>
      <c r="E42" s="14" t="n">
        <f aca="false">FM_Upside!$E$27</f>
        <v>58.25</v>
      </c>
      <c r="F42" s="14" t="n">
        <f aca="false">FM_Upside!$F$27</f>
        <v>297.42</v>
      </c>
      <c r="G42" s="14" t="n">
        <f aca="false">FM_Upside!$G$27</f>
        <v>930.5896</v>
      </c>
    </row>
    <row r="43" customFormat="false" ht="15" hidden="false" customHeight="false" outlineLevel="0" collapsed="false">
      <c r="A43" s="10" t="s">
        <v>43</v>
      </c>
      <c r="B43" s="10" t="s">
        <v>39</v>
      </c>
      <c r="C43" s="14" t="n">
        <f aca="false">FM_Upside!$C$28</f>
        <v>0</v>
      </c>
      <c r="D43" s="14" t="n">
        <f aca="false">FM_Upside!$D$28</f>
        <v>0</v>
      </c>
      <c r="E43" s="14" t="n">
        <f aca="false">FM_Upside!$E$28</f>
        <v>192</v>
      </c>
      <c r="F43" s="14" t="n">
        <f aca="false">FM_Upside!$F$28</f>
        <v>480</v>
      </c>
      <c r="G43" s="14" t="n">
        <f aca="false">FM_Upside!$G$28</f>
        <v>672</v>
      </c>
    </row>
    <row r="44" customFormat="false" ht="15" hidden="false" customHeight="false" outlineLevel="0" collapsed="false">
      <c r="A44" s="12" t="s">
        <v>44</v>
      </c>
      <c r="B44" s="12" t="s">
        <v>33</v>
      </c>
      <c r="C44" s="13" t="n">
        <f aca="false">FM_Upside!$C$75</f>
        <v>0</v>
      </c>
      <c r="D44" s="13" t="n">
        <f aca="false">FM_Upside!$D$75</f>
        <v>0.689958758665068</v>
      </c>
      <c r="E44" s="13" t="n">
        <f aca="false">FM_Upside!$E$75</f>
        <v>0.650531422915491</v>
      </c>
      <c r="F44" s="13" t="n">
        <f aca="false">FM_Upside!$F$75</f>
        <v>0.7102740756198</v>
      </c>
      <c r="G44" s="13" t="n">
        <f aca="false">FM_Upside!$G$75</f>
        <v>0.705569883676231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6" min="4" style="0" width="13"/>
    <col collapsed="false" customWidth="true" hidden="false" outlineLevel="0" max="7" min="7" style="0" width="12"/>
    <col collapsed="false" customWidth="true" hidden="false" outlineLevel="0" max="8" min="8" style="0" width="70"/>
  </cols>
  <sheetData>
    <row r="1" customFormat="false" ht="19.4" hidden="false" customHeight="false" outlineLevel="0" collapsed="false">
      <c r="A1" s="6" t="s">
        <v>47</v>
      </c>
    </row>
    <row r="3" customFormat="false" ht="15" hidden="false" customHeight="false" outlineLevel="0" collapsed="false">
      <c r="A3" s="8" t="s">
        <v>48</v>
      </c>
      <c r="B3" s="9" t="s">
        <v>49</v>
      </c>
      <c r="C3" s="9" t="s">
        <v>23</v>
      </c>
      <c r="D3" s="8" t="s">
        <v>22</v>
      </c>
      <c r="E3" s="8" t="s">
        <v>45</v>
      </c>
      <c r="F3" s="8" t="s">
        <v>46</v>
      </c>
      <c r="G3" s="8" t="s">
        <v>5</v>
      </c>
      <c r="H3" s="8" t="s">
        <v>50</v>
      </c>
    </row>
    <row r="4" customFormat="false" ht="15" hidden="false" customHeight="false" outlineLevel="0" collapsed="false">
      <c r="A4" s="15" t="s">
        <v>51</v>
      </c>
      <c r="B4" s="16"/>
      <c r="C4" s="16"/>
      <c r="D4" s="16"/>
      <c r="E4" s="16"/>
      <c r="F4" s="16"/>
      <c r="G4" s="16"/>
      <c r="H4" s="16"/>
    </row>
    <row r="5" customFormat="false" ht="15" hidden="false" customHeight="false" outlineLevel="0" collapsed="false">
      <c r="A5" s="12" t="s">
        <v>52</v>
      </c>
      <c r="B5" s="10" t="s">
        <v>53</v>
      </c>
      <c r="C5" s="10" t="s">
        <v>54</v>
      </c>
      <c r="D5" s="17" t="n">
        <v>20181</v>
      </c>
      <c r="E5" s="17" t="n">
        <v>20181</v>
      </c>
      <c r="F5" s="17" t="n">
        <v>20181</v>
      </c>
      <c r="G5" s="18" t="s">
        <v>55</v>
      </c>
      <c r="H5" s="10" t="s">
        <v>56</v>
      </c>
    </row>
    <row r="6" customFormat="false" ht="15" hidden="false" customHeight="false" outlineLevel="0" collapsed="false">
      <c r="A6" s="12" t="s">
        <v>57</v>
      </c>
      <c r="B6" s="10" t="s">
        <v>58</v>
      </c>
      <c r="C6" s="12" t="s">
        <v>33</v>
      </c>
      <c r="D6" s="19" t="n">
        <v>0.658</v>
      </c>
      <c r="E6" s="19" t="n">
        <v>0.658</v>
      </c>
      <c r="F6" s="19" t="n">
        <v>0.658</v>
      </c>
      <c r="G6" s="18" t="s">
        <v>55</v>
      </c>
      <c r="H6" s="10" t="s">
        <v>59</v>
      </c>
    </row>
    <row r="7" customFormat="false" ht="15" hidden="false" customHeight="false" outlineLevel="0" collapsed="false">
      <c r="A7" s="12" t="s">
        <v>60</v>
      </c>
      <c r="B7" s="10" t="s">
        <v>61</v>
      </c>
      <c r="C7" s="12" t="s">
        <v>33</v>
      </c>
      <c r="D7" s="19" t="n">
        <v>0.56</v>
      </c>
      <c r="E7" s="19" t="n">
        <v>0.56</v>
      </c>
      <c r="F7" s="19" t="n">
        <v>0.56</v>
      </c>
      <c r="G7" s="18" t="s">
        <v>55</v>
      </c>
      <c r="H7" s="10" t="s">
        <v>59</v>
      </c>
    </row>
    <row r="8" customFormat="false" ht="15" hidden="false" customHeight="false" outlineLevel="0" collapsed="false">
      <c r="A8" s="12" t="s">
        <v>62</v>
      </c>
      <c r="B8" s="10" t="s">
        <v>63</v>
      </c>
      <c r="C8" s="12" t="s">
        <v>33</v>
      </c>
      <c r="D8" s="19" t="n">
        <v>0.306</v>
      </c>
      <c r="E8" s="19" t="n">
        <v>0.306</v>
      </c>
      <c r="F8" s="19" t="n">
        <v>0.306</v>
      </c>
      <c r="G8" s="18" t="s">
        <v>55</v>
      </c>
      <c r="H8" s="10" t="s">
        <v>59</v>
      </c>
    </row>
    <row r="9" customFormat="false" ht="15" hidden="false" customHeight="false" outlineLevel="0" collapsed="false">
      <c r="A9" s="12" t="s">
        <v>64</v>
      </c>
      <c r="B9" s="10" t="s">
        <v>65</v>
      </c>
      <c r="C9" s="10" t="s">
        <v>54</v>
      </c>
      <c r="D9" s="17" t="n">
        <v>12630</v>
      </c>
      <c r="E9" s="17" t="n">
        <v>12630</v>
      </c>
      <c r="F9" s="17" t="n">
        <v>12630</v>
      </c>
      <c r="G9" s="18" t="s">
        <v>55</v>
      </c>
      <c r="H9" s="10" t="s">
        <v>66</v>
      </c>
    </row>
    <row r="10" customFormat="false" ht="15" hidden="false" customHeight="false" outlineLevel="0" collapsed="false">
      <c r="A10" s="12" t="s">
        <v>67</v>
      </c>
      <c r="B10" s="10" t="s">
        <v>68</v>
      </c>
      <c r="C10" s="10" t="s">
        <v>54</v>
      </c>
      <c r="D10" s="17" t="n">
        <v>6390</v>
      </c>
      <c r="E10" s="17" t="n">
        <v>6390</v>
      </c>
      <c r="F10" s="17" t="n">
        <v>6390</v>
      </c>
      <c r="G10" s="18" t="s">
        <v>55</v>
      </c>
      <c r="H10" s="10" t="s">
        <v>66</v>
      </c>
    </row>
    <row r="11" customFormat="false" ht="15" hidden="false" customHeight="false" outlineLevel="0" collapsed="false">
      <c r="A11" s="12" t="s">
        <v>69</v>
      </c>
      <c r="B11" s="10" t="s">
        <v>70</v>
      </c>
      <c r="C11" s="10" t="s">
        <v>54</v>
      </c>
      <c r="D11" s="17" t="n">
        <v>726</v>
      </c>
      <c r="E11" s="17" t="n">
        <v>726</v>
      </c>
      <c r="F11" s="17" t="n">
        <v>726</v>
      </c>
      <c r="G11" s="18" t="s">
        <v>55</v>
      </c>
      <c r="H11" s="12" t="s">
        <v>71</v>
      </c>
    </row>
    <row r="12" customFormat="false" ht="15" hidden="false" customHeight="false" outlineLevel="0" collapsed="false">
      <c r="A12" s="12" t="s">
        <v>72</v>
      </c>
      <c r="B12" s="10" t="s">
        <v>73</v>
      </c>
      <c r="C12" s="10" t="s">
        <v>54</v>
      </c>
      <c r="D12" s="17" t="n">
        <v>342.4</v>
      </c>
      <c r="E12" s="17" t="n">
        <v>342.4</v>
      </c>
      <c r="F12" s="17" t="n">
        <v>342.4</v>
      </c>
      <c r="G12" s="18" t="s">
        <v>55</v>
      </c>
      <c r="H12" s="10" t="s">
        <v>74</v>
      </c>
    </row>
    <row r="13" customFormat="false" ht="15" hidden="false" customHeight="false" outlineLevel="0" collapsed="false">
      <c r="A13" s="12" t="s">
        <v>75</v>
      </c>
      <c r="B13" s="10" t="s">
        <v>76</v>
      </c>
      <c r="C13" s="10" t="s">
        <v>54</v>
      </c>
      <c r="D13" s="17" t="n">
        <v>236.3</v>
      </c>
      <c r="E13" s="17" t="n">
        <v>236.3</v>
      </c>
      <c r="F13" s="17" t="n">
        <v>236.3</v>
      </c>
      <c r="G13" s="18" t="s">
        <v>55</v>
      </c>
      <c r="H13" s="10" t="s">
        <v>77</v>
      </c>
    </row>
    <row r="14" customFormat="false" ht="15" hidden="false" customHeight="false" outlineLevel="0" collapsed="false">
      <c r="A14" s="12" t="s">
        <v>78</v>
      </c>
      <c r="B14" s="10" t="s">
        <v>79</v>
      </c>
      <c r="C14" s="10" t="s">
        <v>54</v>
      </c>
      <c r="D14" s="17" t="n">
        <v>183.1</v>
      </c>
      <c r="E14" s="17" t="n">
        <v>183.1</v>
      </c>
      <c r="F14" s="17" t="n">
        <v>183.1</v>
      </c>
      <c r="G14" s="18" t="s">
        <v>55</v>
      </c>
      <c r="H14" s="10" t="s">
        <v>80</v>
      </c>
    </row>
    <row r="15" customFormat="false" ht="15" hidden="false" customHeight="false" outlineLevel="0" collapsed="false">
      <c r="A15" s="12" t="s">
        <v>81</v>
      </c>
      <c r="B15" s="12" t="s">
        <v>82</v>
      </c>
      <c r="C15" s="10" t="s">
        <v>83</v>
      </c>
      <c r="D15" s="17" t="n">
        <v>22</v>
      </c>
      <c r="E15" s="17" t="n">
        <v>22</v>
      </c>
      <c r="F15" s="17" t="n">
        <v>22</v>
      </c>
      <c r="G15" s="18" t="s">
        <v>84</v>
      </c>
      <c r="H15" s="10" t="s">
        <v>85</v>
      </c>
    </row>
    <row r="16" customFormat="false" ht="15" hidden="false" customHeight="false" outlineLevel="0" collapsed="false">
      <c r="A16" s="12" t="s">
        <v>86</v>
      </c>
      <c r="B16" s="10" t="s">
        <v>87</v>
      </c>
      <c r="C16" s="12" t="s">
        <v>33</v>
      </c>
      <c r="D16" s="19" t="n">
        <v>0.7</v>
      </c>
      <c r="E16" s="19" t="n">
        <v>0.7</v>
      </c>
      <c r="F16" s="19" t="n">
        <v>0.7</v>
      </c>
      <c r="G16" s="18" t="s">
        <v>84</v>
      </c>
      <c r="H16" s="10" t="s">
        <v>88</v>
      </c>
    </row>
    <row r="17" customFormat="false" ht="15" hidden="false" customHeight="false" outlineLevel="0" collapsed="false">
      <c r="A17" s="12" t="s">
        <v>89</v>
      </c>
      <c r="B17" s="10" t="s">
        <v>90</v>
      </c>
      <c r="C17" s="12" t="s">
        <v>33</v>
      </c>
      <c r="D17" s="19" t="n">
        <v>0.4</v>
      </c>
      <c r="E17" s="19" t="n">
        <v>0.4</v>
      </c>
      <c r="F17" s="19" t="n">
        <v>0.4</v>
      </c>
      <c r="G17" s="18" t="s">
        <v>84</v>
      </c>
      <c r="H17" s="10" t="s">
        <v>91</v>
      </c>
    </row>
    <row r="18" customFormat="false" ht="15" hidden="false" customHeight="false" outlineLevel="0" collapsed="false">
      <c r="A18" s="12" t="s">
        <v>92</v>
      </c>
      <c r="B18" s="10" t="s">
        <v>93</v>
      </c>
      <c r="C18" s="10" t="s">
        <v>94</v>
      </c>
      <c r="D18" s="17" t="n">
        <v>100</v>
      </c>
      <c r="E18" s="17" t="n">
        <v>100</v>
      </c>
      <c r="F18" s="17" t="n">
        <v>100</v>
      </c>
      <c r="G18" s="18" t="s">
        <v>84</v>
      </c>
      <c r="H18" s="10" t="s">
        <v>95</v>
      </c>
    </row>
    <row r="19" customFormat="false" ht="15" hidden="false" customHeight="false" outlineLevel="0" collapsed="false">
      <c r="A19" s="12" t="s">
        <v>96</v>
      </c>
      <c r="B19" s="10" t="s">
        <v>97</v>
      </c>
      <c r="C19" s="10" t="s">
        <v>94</v>
      </c>
      <c r="D19" s="17" t="n">
        <v>300</v>
      </c>
      <c r="E19" s="17" t="n">
        <v>300</v>
      </c>
      <c r="F19" s="17" t="n">
        <v>300</v>
      </c>
      <c r="G19" s="18" t="s">
        <v>84</v>
      </c>
      <c r="H19" s="10" t="s">
        <v>98</v>
      </c>
    </row>
    <row r="20" customFormat="false" ht="15" hidden="false" customHeight="false" outlineLevel="0" collapsed="false">
      <c r="A20" s="12" t="s">
        <v>99</v>
      </c>
      <c r="B20" s="12" t="s">
        <v>100</v>
      </c>
      <c r="C20" s="12" t="s">
        <v>33</v>
      </c>
      <c r="D20" s="19" t="n">
        <v>0.1</v>
      </c>
      <c r="E20" s="19" t="n">
        <v>0.1</v>
      </c>
      <c r="F20" s="19" t="n">
        <v>0.1</v>
      </c>
      <c r="G20" s="18" t="s">
        <v>84</v>
      </c>
      <c r="H20" s="10" t="s">
        <v>101</v>
      </c>
    </row>
    <row r="21" customFormat="false" ht="15" hidden="false" customHeight="false" outlineLevel="0" collapsed="false">
      <c r="A21" s="12" t="s">
        <v>102</v>
      </c>
      <c r="B21" s="12" t="s">
        <v>103</v>
      </c>
      <c r="C21" s="12" t="s">
        <v>33</v>
      </c>
      <c r="D21" s="19" t="n">
        <v>0.6</v>
      </c>
      <c r="E21" s="19" t="n">
        <v>0.6</v>
      </c>
      <c r="F21" s="19" t="n">
        <v>0.6</v>
      </c>
      <c r="G21" s="18" t="s">
        <v>84</v>
      </c>
      <c r="H21" s="10" t="s">
        <v>104</v>
      </c>
    </row>
    <row r="22" customFormat="false" ht="15" hidden="false" customHeight="false" outlineLevel="0" collapsed="false">
      <c r="A22" s="12" t="s">
        <v>105</v>
      </c>
      <c r="B22" s="10" t="s">
        <v>106</v>
      </c>
      <c r="C22" s="10" t="s">
        <v>94</v>
      </c>
      <c r="D22" s="17" t="n">
        <v>200</v>
      </c>
      <c r="E22" s="17" t="n">
        <v>200</v>
      </c>
      <c r="F22" s="17" t="n">
        <v>200</v>
      </c>
      <c r="G22" s="18" t="s">
        <v>107</v>
      </c>
      <c r="H22" s="12" t="s">
        <v>108</v>
      </c>
    </row>
    <row r="23" customFormat="false" ht="15" hidden="false" customHeight="false" outlineLevel="0" collapsed="false">
      <c r="A23" s="12" t="s">
        <v>109</v>
      </c>
      <c r="B23" s="12" t="s">
        <v>110</v>
      </c>
      <c r="C23" s="12" t="s">
        <v>33</v>
      </c>
      <c r="D23" s="19" t="n">
        <v>0.15</v>
      </c>
      <c r="E23" s="19" t="n">
        <v>0.15</v>
      </c>
      <c r="F23" s="19" t="n">
        <v>0.15</v>
      </c>
      <c r="G23" s="18" t="s">
        <v>84</v>
      </c>
      <c r="H23" s="10" t="s">
        <v>111</v>
      </c>
    </row>
    <row r="24" customFormat="false" ht="15" hidden="false" customHeight="false" outlineLevel="0" collapsed="false">
      <c r="A24" s="15" t="s">
        <v>112</v>
      </c>
      <c r="B24" s="16"/>
      <c r="C24" s="16"/>
      <c r="D24" s="16"/>
      <c r="E24" s="16"/>
      <c r="F24" s="16"/>
      <c r="G24" s="16"/>
      <c r="H24" s="16"/>
    </row>
    <row r="25" customFormat="false" ht="15" hidden="false" customHeight="false" outlineLevel="0" collapsed="false">
      <c r="A25" s="12" t="s">
        <v>113</v>
      </c>
      <c r="B25" s="10" t="s">
        <v>114</v>
      </c>
      <c r="C25" s="10" t="s">
        <v>115</v>
      </c>
      <c r="D25" s="20" t="n">
        <v>1.5</v>
      </c>
      <c r="E25" s="20" t="n">
        <v>1.5</v>
      </c>
      <c r="F25" s="20" t="n">
        <v>1.5</v>
      </c>
      <c r="G25" s="18" t="s">
        <v>55</v>
      </c>
      <c r="H25" s="10" t="s">
        <v>116</v>
      </c>
    </row>
    <row r="26" customFormat="false" ht="15" hidden="false" customHeight="false" outlineLevel="0" collapsed="false">
      <c r="A26" s="12" t="s">
        <v>117</v>
      </c>
      <c r="B26" s="12" t="s">
        <v>118</v>
      </c>
      <c r="C26" s="10" t="s">
        <v>119</v>
      </c>
      <c r="D26" s="17" t="n">
        <v>40</v>
      </c>
      <c r="E26" s="17" t="n">
        <v>40</v>
      </c>
      <c r="F26" s="17" t="n">
        <v>40</v>
      </c>
      <c r="G26" s="18" t="s">
        <v>84</v>
      </c>
      <c r="H26" s="12" t="s">
        <v>120</v>
      </c>
    </row>
    <row r="27" customFormat="false" ht="15" hidden="false" customHeight="false" outlineLevel="0" collapsed="false">
      <c r="A27" s="12" t="s">
        <v>121</v>
      </c>
      <c r="B27" s="12" t="s">
        <v>122</v>
      </c>
      <c r="C27" s="12" t="s">
        <v>33</v>
      </c>
      <c r="D27" s="19" t="n">
        <v>0.6</v>
      </c>
      <c r="E27" s="19" t="n">
        <v>0.6</v>
      </c>
      <c r="F27" s="19" t="n">
        <v>0.6</v>
      </c>
      <c r="G27" s="18" t="s">
        <v>84</v>
      </c>
      <c r="H27" s="10" t="s">
        <v>123</v>
      </c>
    </row>
    <row r="28" customFormat="false" ht="15" hidden="false" customHeight="false" outlineLevel="0" collapsed="false">
      <c r="A28" s="12" t="s">
        <v>124</v>
      </c>
      <c r="B28" s="10" t="s">
        <v>125</v>
      </c>
      <c r="C28" s="10" t="s">
        <v>126</v>
      </c>
      <c r="D28" s="17" t="n">
        <v>1400</v>
      </c>
      <c r="E28" s="17" t="n">
        <v>1400</v>
      </c>
      <c r="F28" s="17" t="n">
        <v>1400</v>
      </c>
      <c r="G28" s="18" t="s">
        <v>84</v>
      </c>
      <c r="H28" s="10" t="s">
        <v>127</v>
      </c>
    </row>
    <row r="29" customFormat="false" ht="15" hidden="false" customHeight="false" outlineLevel="0" collapsed="false">
      <c r="A29" s="15" t="s">
        <v>128</v>
      </c>
      <c r="B29" s="16"/>
      <c r="C29" s="16"/>
      <c r="D29" s="16"/>
      <c r="E29" s="16"/>
      <c r="F29" s="16"/>
      <c r="G29" s="16"/>
      <c r="H29" s="16"/>
    </row>
    <row r="30" customFormat="false" ht="15" hidden="false" customHeight="false" outlineLevel="0" collapsed="false">
      <c r="A30" s="12" t="s">
        <v>129</v>
      </c>
      <c r="B30" s="12" t="s">
        <v>130</v>
      </c>
      <c r="C30" s="10" t="s">
        <v>131</v>
      </c>
      <c r="D30" s="21" t="n">
        <v>400</v>
      </c>
      <c r="E30" s="21" t="n">
        <v>450</v>
      </c>
      <c r="F30" s="21" t="n">
        <v>450</v>
      </c>
      <c r="G30" s="18" t="s">
        <v>84</v>
      </c>
      <c r="H30" s="10" t="s">
        <v>132</v>
      </c>
    </row>
    <row r="31" customFormat="false" ht="15" hidden="false" customHeight="false" outlineLevel="0" collapsed="false">
      <c r="A31" s="12" t="s">
        <v>133</v>
      </c>
      <c r="B31" s="12" t="s">
        <v>134</v>
      </c>
      <c r="C31" s="10" t="s">
        <v>131</v>
      </c>
      <c r="D31" s="17" t="n">
        <v>200</v>
      </c>
      <c r="E31" s="17" t="n">
        <v>220</v>
      </c>
      <c r="F31" s="17" t="n">
        <v>220</v>
      </c>
      <c r="G31" s="18" t="s">
        <v>84</v>
      </c>
      <c r="H31" s="10" t="s">
        <v>135</v>
      </c>
    </row>
    <row r="32" customFormat="false" ht="15" hidden="false" customHeight="false" outlineLevel="0" collapsed="false">
      <c r="A32" s="12" t="s">
        <v>136</v>
      </c>
      <c r="B32" s="12" t="s">
        <v>137</v>
      </c>
      <c r="C32" s="10" t="s">
        <v>138</v>
      </c>
      <c r="D32" s="21" t="n">
        <v>1290</v>
      </c>
      <c r="E32" s="21" t="n">
        <v>1490</v>
      </c>
      <c r="F32" s="21" t="n">
        <v>1490</v>
      </c>
      <c r="G32" s="18" t="s">
        <v>84</v>
      </c>
      <c r="H32" s="12" t="s">
        <v>139</v>
      </c>
    </row>
    <row r="33" customFormat="false" ht="15" hidden="false" customHeight="false" outlineLevel="0" collapsed="false">
      <c r="A33" s="12" t="s">
        <v>140</v>
      </c>
      <c r="B33" s="10" t="s">
        <v>141</v>
      </c>
      <c r="C33" s="10" t="s">
        <v>138</v>
      </c>
      <c r="D33" s="17" t="n">
        <v>80</v>
      </c>
      <c r="E33" s="17" t="n">
        <v>80</v>
      </c>
      <c r="F33" s="17" t="n">
        <v>80</v>
      </c>
      <c r="G33" s="18" t="s">
        <v>84</v>
      </c>
      <c r="H33" s="12"/>
    </row>
    <row r="34" customFormat="false" ht="15" hidden="false" customHeight="false" outlineLevel="0" collapsed="false">
      <c r="A34" s="12" t="s">
        <v>142</v>
      </c>
      <c r="B34" s="12" t="s">
        <v>143</v>
      </c>
      <c r="C34" s="10" t="s">
        <v>144</v>
      </c>
      <c r="D34" s="22" t="n">
        <v>29</v>
      </c>
      <c r="E34" s="22" t="n">
        <v>33</v>
      </c>
      <c r="F34" s="22" t="n">
        <v>33</v>
      </c>
      <c r="G34" s="18" t="s">
        <v>84</v>
      </c>
      <c r="H34" s="10" t="s">
        <v>145</v>
      </c>
    </row>
    <row r="35" customFormat="false" ht="15" hidden="false" customHeight="false" outlineLevel="0" collapsed="false">
      <c r="A35" s="12" t="s">
        <v>146</v>
      </c>
      <c r="B35" s="12" t="s">
        <v>147</v>
      </c>
      <c r="C35" s="10" t="s">
        <v>148</v>
      </c>
      <c r="D35" s="17" t="n">
        <v>60</v>
      </c>
      <c r="E35" s="17" t="n">
        <v>60</v>
      </c>
      <c r="F35" s="17" t="n">
        <v>60</v>
      </c>
      <c r="G35" s="18" t="s">
        <v>84</v>
      </c>
      <c r="H35" s="12"/>
    </row>
    <row r="36" customFormat="false" ht="15" hidden="false" customHeight="false" outlineLevel="0" collapsed="false">
      <c r="A36" s="12" t="s">
        <v>149</v>
      </c>
      <c r="B36" s="12" t="s">
        <v>150</v>
      </c>
      <c r="C36" s="10" t="s">
        <v>151</v>
      </c>
      <c r="D36" s="21" t="n">
        <v>42</v>
      </c>
      <c r="E36" s="21" t="n">
        <v>48</v>
      </c>
      <c r="F36" s="21" t="n">
        <v>48</v>
      </c>
      <c r="G36" s="18" t="s">
        <v>84</v>
      </c>
      <c r="H36" s="10" t="s">
        <v>152</v>
      </c>
    </row>
    <row r="37" customFormat="false" ht="15" hidden="false" customHeight="false" outlineLevel="0" collapsed="false">
      <c r="A37" s="12" t="s">
        <v>153</v>
      </c>
      <c r="B37" s="12" t="s">
        <v>154</v>
      </c>
      <c r="C37" s="10" t="s">
        <v>151</v>
      </c>
      <c r="D37" s="17" t="n">
        <v>72</v>
      </c>
      <c r="E37" s="17" t="n">
        <v>72</v>
      </c>
      <c r="F37" s="17" t="n">
        <v>72</v>
      </c>
      <c r="G37" s="18" t="s">
        <v>84</v>
      </c>
      <c r="H37" s="10" t="s">
        <v>155</v>
      </c>
    </row>
    <row r="38" customFormat="false" ht="15" hidden="false" customHeight="false" outlineLevel="0" collapsed="false">
      <c r="A38" s="12" t="s">
        <v>156</v>
      </c>
      <c r="B38" s="12" t="s">
        <v>157</v>
      </c>
      <c r="C38" s="10" t="s">
        <v>158</v>
      </c>
      <c r="D38" s="20" t="n">
        <v>4.5</v>
      </c>
      <c r="E38" s="20" t="n">
        <v>4.5</v>
      </c>
      <c r="F38" s="20" t="n">
        <v>4.5</v>
      </c>
      <c r="G38" s="18" t="s">
        <v>84</v>
      </c>
      <c r="H38" s="10" t="s">
        <v>159</v>
      </c>
    </row>
    <row r="39" customFormat="false" ht="15" hidden="false" customHeight="false" outlineLevel="0" collapsed="false">
      <c r="A39" s="12" t="s">
        <v>160</v>
      </c>
      <c r="B39" s="12" t="s">
        <v>161</v>
      </c>
      <c r="C39" s="10" t="s">
        <v>162</v>
      </c>
      <c r="D39" s="20" t="n">
        <v>4</v>
      </c>
      <c r="E39" s="20" t="n">
        <v>4</v>
      </c>
      <c r="F39" s="20" t="n">
        <v>4</v>
      </c>
      <c r="G39" s="18" t="s">
        <v>84</v>
      </c>
      <c r="H39" s="12" t="s">
        <v>163</v>
      </c>
    </row>
    <row r="40" customFormat="false" ht="15" hidden="false" customHeight="false" outlineLevel="0" collapsed="false">
      <c r="A40" s="12" t="s">
        <v>164</v>
      </c>
      <c r="B40" s="12" t="s">
        <v>165</v>
      </c>
      <c r="C40" s="10" t="s">
        <v>158</v>
      </c>
      <c r="D40" s="20" t="n">
        <v>2.5</v>
      </c>
      <c r="E40" s="20" t="n">
        <v>2.5</v>
      </c>
      <c r="F40" s="20" t="n">
        <v>2.5</v>
      </c>
      <c r="G40" s="18" t="s">
        <v>84</v>
      </c>
      <c r="H40" s="12"/>
    </row>
    <row r="41" customFormat="false" ht="15" hidden="false" customHeight="false" outlineLevel="0" collapsed="false">
      <c r="A41" s="12" t="s">
        <v>166</v>
      </c>
      <c r="B41" s="12" t="s">
        <v>167</v>
      </c>
      <c r="C41" s="10" t="s">
        <v>162</v>
      </c>
      <c r="D41" s="20" t="n">
        <v>4</v>
      </c>
      <c r="E41" s="20" t="n">
        <v>4</v>
      </c>
      <c r="F41" s="20" t="n">
        <v>4</v>
      </c>
      <c r="G41" s="18" t="s">
        <v>84</v>
      </c>
      <c r="H41" s="12"/>
    </row>
    <row r="42" customFormat="false" ht="15" hidden="false" customHeight="false" outlineLevel="0" collapsed="false">
      <c r="A42" s="12" t="s">
        <v>168</v>
      </c>
      <c r="B42" s="12" t="s">
        <v>169</v>
      </c>
      <c r="C42" s="10" t="s">
        <v>158</v>
      </c>
      <c r="D42" s="20" t="n">
        <v>4</v>
      </c>
      <c r="E42" s="20" t="n">
        <v>4</v>
      </c>
      <c r="F42" s="20" t="n">
        <v>4</v>
      </c>
      <c r="G42" s="18" t="s">
        <v>84</v>
      </c>
      <c r="H42" s="12"/>
    </row>
    <row r="43" customFormat="false" ht="15" hidden="false" customHeight="false" outlineLevel="0" collapsed="false">
      <c r="A43" s="12" t="s">
        <v>170</v>
      </c>
      <c r="B43" s="12" t="s">
        <v>171</v>
      </c>
      <c r="C43" s="10" t="s">
        <v>162</v>
      </c>
      <c r="D43" s="20" t="n">
        <v>2</v>
      </c>
      <c r="E43" s="20" t="n">
        <v>2</v>
      </c>
      <c r="F43" s="20" t="n">
        <v>2</v>
      </c>
      <c r="G43" s="18" t="s">
        <v>84</v>
      </c>
      <c r="H43" s="12"/>
    </row>
    <row r="44" customFormat="false" ht="15" hidden="false" customHeight="false" outlineLevel="0" collapsed="false">
      <c r="A44" s="12" t="s">
        <v>172</v>
      </c>
      <c r="B44" s="12" t="s">
        <v>173</v>
      </c>
      <c r="C44" s="12" t="s">
        <v>33</v>
      </c>
      <c r="D44" s="19" t="n">
        <v>0.55</v>
      </c>
      <c r="E44" s="19" t="n">
        <v>0.7</v>
      </c>
      <c r="F44" s="19" t="n">
        <v>0.7</v>
      </c>
      <c r="G44" s="18" t="s">
        <v>84</v>
      </c>
      <c r="H44" s="12"/>
    </row>
    <row r="45" customFormat="false" ht="15" hidden="false" customHeight="false" outlineLevel="0" collapsed="false">
      <c r="A45" s="12" t="s">
        <v>174</v>
      </c>
      <c r="B45" s="12" t="s">
        <v>175</v>
      </c>
      <c r="C45" s="12" t="s">
        <v>33</v>
      </c>
      <c r="D45" s="19" t="n">
        <v>0.55</v>
      </c>
      <c r="E45" s="19" t="n">
        <v>0.7</v>
      </c>
      <c r="F45" s="19" t="n">
        <v>0.7</v>
      </c>
      <c r="G45" s="18" t="s">
        <v>84</v>
      </c>
      <c r="H45" s="12"/>
    </row>
    <row r="46" customFormat="false" ht="15" hidden="false" customHeight="false" outlineLevel="0" collapsed="false">
      <c r="A46" s="12" t="s">
        <v>176</v>
      </c>
      <c r="B46" s="12" t="s">
        <v>177</v>
      </c>
      <c r="C46" s="10" t="s">
        <v>178</v>
      </c>
      <c r="D46" s="17" t="n">
        <v>60</v>
      </c>
      <c r="E46" s="17" t="n">
        <v>60</v>
      </c>
      <c r="F46" s="17" t="n">
        <v>60</v>
      </c>
      <c r="G46" s="18" t="s">
        <v>84</v>
      </c>
      <c r="H46" s="12" t="s">
        <v>179</v>
      </c>
    </row>
    <row r="47" customFormat="false" ht="15" hidden="false" customHeight="false" outlineLevel="0" collapsed="false">
      <c r="A47" s="12" t="s">
        <v>180</v>
      </c>
      <c r="B47" s="12" t="s">
        <v>181</v>
      </c>
      <c r="C47" s="12" t="s">
        <v>33</v>
      </c>
      <c r="D47" s="19" t="n">
        <v>0.1</v>
      </c>
      <c r="E47" s="19" t="n">
        <v>0.2</v>
      </c>
      <c r="F47" s="19" t="n">
        <v>0.2</v>
      </c>
      <c r="G47" s="18" t="s">
        <v>84</v>
      </c>
      <c r="H47" s="12"/>
    </row>
    <row r="48" customFormat="false" ht="15" hidden="false" customHeight="false" outlineLevel="0" collapsed="false">
      <c r="A48" s="12" t="s">
        <v>182</v>
      </c>
      <c r="B48" s="12" t="s">
        <v>183</v>
      </c>
      <c r="C48" s="10" t="s">
        <v>178</v>
      </c>
      <c r="D48" s="17" t="n">
        <v>80</v>
      </c>
      <c r="E48" s="17" t="n">
        <v>80</v>
      </c>
      <c r="F48" s="17" t="n">
        <v>80</v>
      </c>
      <c r="G48" s="18" t="s">
        <v>84</v>
      </c>
      <c r="H48" s="12" t="s">
        <v>184</v>
      </c>
    </row>
    <row r="49" customFormat="false" ht="15" hidden="false" customHeight="false" outlineLevel="0" collapsed="false">
      <c r="A49" s="12" t="s">
        <v>185</v>
      </c>
      <c r="B49" s="12" t="s">
        <v>186</v>
      </c>
      <c r="C49" s="12" t="s">
        <v>33</v>
      </c>
      <c r="D49" s="19" t="n">
        <v>0.15</v>
      </c>
      <c r="E49" s="19" t="n">
        <v>0.25</v>
      </c>
      <c r="F49" s="19" t="n">
        <v>0.25</v>
      </c>
      <c r="G49" s="18" t="s">
        <v>84</v>
      </c>
      <c r="H49" s="12"/>
    </row>
    <row r="50" customFormat="false" ht="15" hidden="false" customHeight="false" outlineLevel="0" collapsed="false">
      <c r="A50" s="12" t="s">
        <v>187</v>
      </c>
      <c r="B50" s="12" t="s">
        <v>188</v>
      </c>
      <c r="C50" s="12" t="s">
        <v>33</v>
      </c>
      <c r="D50" s="19" t="n">
        <v>0.88</v>
      </c>
      <c r="E50" s="19" t="n">
        <v>0.88</v>
      </c>
      <c r="F50" s="19" t="n">
        <v>0.88</v>
      </c>
      <c r="G50" s="18" t="s">
        <v>84</v>
      </c>
      <c r="H50" s="12" t="s">
        <v>189</v>
      </c>
    </row>
    <row r="51" customFormat="false" ht="15" hidden="false" customHeight="false" outlineLevel="0" collapsed="false">
      <c r="A51" s="12" t="s">
        <v>190</v>
      </c>
      <c r="B51" s="12" t="s">
        <v>191</v>
      </c>
      <c r="C51" s="10" t="s">
        <v>144</v>
      </c>
      <c r="D51" s="20" t="n">
        <v>6</v>
      </c>
      <c r="E51" s="20" t="n">
        <v>6</v>
      </c>
      <c r="F51" s="20" t="n">
        <v>6</v>
      </c>
      <c r="G51" s="18" t="s">
        <v>84</v>
      </c>
      <c r="H51" s="12"/>
    </row>
    <row r="52" customFormat="false" ht="15" hidden="false" customHeight="false" outlineLevel="0" collapsed="false">
      <c r="A52" s="15" t="s">
        <v>192</v>
      </c>
      <c r="B52" s="16"/>
      <c r="C52" s="16"/>
      <c r="D52" s="16"/>
      <c r="E52" s="16"/>
      <c r="F52" s="16"/>
      <c r="G52" s="16"/>
      <c r="H52" s="16"/>
    </row>
    <row r="53" customFormat="false" ht="15" hidden="false" customHeight="false" outlineLevel="0" collapsed="false">
      <c r="A53" s="12" t="s">
        <v>193</v>
      </c>
      <c r="B53" s="12" t="s">
        <v>194</v>
      </c>
      <c r="C53" s="10" t="s">
        <v>131</v>
      </c>
      <c r="D53" s="17" t="n">
        <v>200</v>
      </c>
      <c r="E53" s="17" t="n">
        <v>200</v>
      </c>
      <c r="F53" s="17" t="n">
        <v>200</v>
      </c>
      <c r="G53" s="18" t="s">
        <v>84</v>
      </c>
      <c r="H53" s="10" t="s">
        <v>195</v>
      </c>
    </row>
    <row r="54" customFormat="false" ht="15" hidden="false" customHeight="false" outlineLevel="0" collapsed="false">
      <c r="A54" s="12" t="s">
        <v>196</v>
      </c>
      <c r="B54" s="12" t="s">
        <v>197</v>
      </c>
      <c r="C54" s="12" t="s">
        <v>198</v>
      </c>
      <c r="D54" s="20" t="n">
        <v>1.6</v>
      </c>
      <c r="E54" s="20" t="n">
        <v>1.6</v>
      </c>
      <c r="F54" s="20" t="n">
        <v>1.6</v>
      </c>
      <c r="G54" s="18" t="s">
        <v>84</v>
      </c>
      <c r="H54" s="12"/>
    </row>
    <row r="55" customFormat="false" ht="15" hidden="false" customHeight="false" outlineLevel="0" collapsed="false">
      <c r="A55" s="12" t="s">
        <v>199</v>
      </c>
      <c r="B55" s="12" t="s">
        <v>200</v>
      </c>
      <c r="C55" s="10" t="s">
        <v>131</v>
      </c>
      <c r="D55" s="17" t="n">
        <v>100</v>
      </c>
      <c r="E55" s="17" t="n">
        <v>100</v>
      </c>
      <c r="F55" s="17" t="n">
        <v>100</v>
      </c>
      <c r="G55" s="18" t="s">
        <v>84</v>
      </c>
      <c r="H55" s="12"/>
    </row>
    <row r="56" customFormat="false" ht="15" hidden="false" customHeight="false" outlineLevel="0" collapsed="false">
      <c r="A56" s="12" t="s">
        <v>201</v>
      </c>
      <c r="B56" s="12" t="s">
        <v>202</v>
      </c>
      <c r="C56" s="10" t="s">
        <v>131</v>
      </c>
      <c r="D56" s="17" t="n">
        <v>145</v>
      </c>
      <c r="E56" s="17" t="n">
        <v>130</v>
      </c>
      <c r="F56" s="17" t="n">
        <v>120</v>
      </c>
      <c r="G56" s="18" t="s">
        <v>84</v>
      </c>
      <c r="H56" s="12"/>
    </row>
    <row r="57" customFormat="false" ht="15" hidden="false" customHeight="false" outlineLevel="0" collapsed="false">
      <c r="A57" s="12" t="s">
        <v>203</v>
      </c>
      <c r="B57" s="10" t="s">
        <v>204</v>
      </c>
      <c r="C57" s="10" t="s">
        <v>131</v>
      </c>
      <c r="D57" s="17" t="n">
        <v>25</v>
      </c>
      <c r="E57" s="17" t="n">
        <v>25</v>
      </c>
      <c r="F57" s="17" t="n">
        <v>25</v>
      </c>
      <c r="G57" s="18" t="s">
        <v>84</v>
      </c>
      <c r="H57" s="12"/>
    </row>
    <row r="58" customFormat="false" ht="15" hidden="false" customHeight="false" outlineLevel="0" collapsed="false">
      <c r="A58" s="12" t="s">
        <v>205</v>
      </c>
      <c r="B58" s="12" t="s">
        <v>206</v>
      </c>
      <c r="C58" s="12" t="s">
        <v>33</v>
      </c>
      <c r="D58" s="19" t="n">
        <v>0.05</v>
      </c>
      <c r="E58" s="19" t="n">
        <v>0.04</v>
      </c>
      <c r="F58" s="19" t="n">
        <v>0.035</v>
      </c>
      <c r="G58" s="18" t="s">
        <v>84</v>
      </c>
      <c r="H58" s="12" t="s">
        <v>207</v>
      </c>
    </row>
    <row r="59" customFormat="false" ht="15" hidden="false" customHeight="false" outlineLevel="0" collapsed="false">
      <c r="A59" s="12" t="s">
        <v>208</v>
      </c>
      <c r="B59" s="10" t="s">
        <v>209</v>
      </c>
      <c r="C59" s="10" t="s">
        <v>210</v>
      </c>
      <c r="D59" s="20" t="n">
        <v>0.9</v>
      </c>
      <c r="E59" s="20" t="n">
        <v>0.6</v>
      </c>
      <c r="F59" s="20" t="n">
        <v>0.5</v>
      </c>
      <c r="G59" s="18" t="s">
        <v>84</v>
      </c>
      <c r="H59" s="12"/>
    </row>
    <row r="60" customFormat="false" ht="15" hidden="false" customHeight="false" outlineLevel="0" collapsed="false">
      <c r="A60" s="12" t="s">
        <v>211</v>
      </c>
      <c r="B60" s="10" t="s">
        <v>212</v>
      </c>
      <c r="C60" s="10" t="s">
        <v>213</v>
      </c>
      <c r="D60" s="17" t="n">
        <v>18</v>
      </c>
      <c r="E60" s="17" t="n">
        <v>18</v>
      </c>
      <c r="F60" s="17" t="n">
        <v>18</v>
      </c>
      <c r="G60" s="18" t="s">
        <v>84</v>
      </c>
      <c r="H60" s="12"/>
    </row>
    <row r="61" customFormat="false" ht="15" hidden="false" customHeight="false" outlineLevel="0" collapsed="false">
      <c r="A61" s="12" t="s">
        <v>214</v>
      </c>
      <c r="B61" s="12" t="s">
        <v>215</v>
      </c>
      <c r="C61" s="10" t="s">
        <v>216</v>
      </c>
      <c r="D61" s="17" t="n">
        <v>4</v>
      </c>
      <c r="E61" s="17" t="n">
        <v>4</v>
      </c>
      <c r="F61" s="17" t="n">
        <v>4</v>
      </c>
      <c r="G61" s="18" t="s">
        <v>84</v>
      </c>
      <c r="H61" s="12"/>
    </row>
    <row r="62" customFormat="false" ht="15" hidden="false" customHeight="false" outlineLevel="0" collapsed="false">
      <c r="A62" s="12" t="s">
        <v>217</v>
      </c>
      <c r="B62" s="12" t="s">
        <v>218</v>
      </c>
      <c r="C62" s="12" t="s">
        <v>33</v>
      </c>
      <c r="D62" s="19" t="n">
        <v>0.4</v>
      </c>
      <c r="E62" s="19" t="n">
        <v>0.35</v>
      </c>
      <c r="F62" s="19" t="n">
        <v>0.32</v>
      </c>
      <c r="G62" s="18" t="s">
        <v>84</v>
      </c>
      <c r="H62" s="12"/>
    </row>
    <row r="63" customFormat="false" ht="15" hidden="false" customHeight="false" outlineLevel="0" collapsed="false">
      <c r="A63" s="12" t="s">
        <v>219</v>
      </c>
      <c r="B63" s="12" t="s">
        <v>220</v>
      </c>
      <c r="C63" s="12" t="s">
        <v>33</v>
      </c>
      <c r="D63" s="19" t="n">
        <v>0.1</v>
      </c>
      <c r="E63" s="19" t="n">
        <v>0.1</v>
      </c>
      <c r="F63" s="19" t="n">
        <v>0.1</v>
      </c>
      <c r="G63" s="18" t="s">
        <v>84</v>
      </c>
      <c r="H63" s="12"/>
    </row>
    <row r="64" customFormat="false" ht="15" hidden="false" customHeight="false" outlineLevel="0" collapsed="false">
      <c r="A64" s="12" t="s">
        <v>221</v>
      </c>
      <c r="B64" s="12" t="s">
        <v>222</v>
      </c>
      <c r="C64" s="12" t="s">
        <v>33</v>
      </c>
      <c r="D64" s="19" t="n">
        <v>0.45</v>
      </c>
      <c r="E64" s="19" t="n">
        <v>0.45</v>
      </c>
      <c r="F64" s="19" t="n">
        <v>0.45</v>
      </c>
      <c r="G64" s="18" t="s">
        <v>84</v>
      </c>
      <c r="H64" s="12"/>
    </row>
    <row r="65" customFormat="false" ht="15" hidden="false" customHeight="false" outlineLevel="0" collapsed="false">
      <c r="A65" s="12" t="s">
        <v>223</v>
      </c>
      <c r="B65" s="12" t="s">
        <v>224</v>
      </c>
      <c r="C65" s="12" t="s">
        <v>33</v>
      </c>
      <c r="D65" s="19" t="n">
        <v>0.12</v>
      </c>
      <c r="E65" s="19" t="n">
        <v>0.1</v>
      </c>
      <c r="F65" s="19" t="n">
        <v>0.09</v>
      </c>
      <c r="G65" s="18" t="s">
        <v>84</v>
      </c>
      <c r="H65" s="12"/>
    </row>
    <row r="66" customFormat="false" ht="15" hidden="false" customHeight="false" outlineLevel="0" collapsed="false">
      <c r="A66" s="12" t="s">
        <v>225</v>
      </c>
      <c r="B66" s="10" t="s">
        <v>226</v>
      </c>
      <c r="C66" s="10" t="s">
        <v>131</v>
      </c>
      <c r="D66" s="17" t="n">
        <v>180</v>
      </c>
      <c r="E66" s="17" t="n">
        <v>150</v>
      </c>
      <c r="F66" s="17" t="n">
        <v>140</v>
      </c>
      <c r="G66" s="18" t="s">
        <v>84</v>
      </c>
      <c r="H66" s="12"/>
    </row>
    <row r="67" customFormat="false" ht="15" hidden="false" customHeight="false" outlineLevel="0" collapsed="false">
      <c r="A67" s="12" t="s">
        <v>227</v>
      </c>
      <c r="B67" s="10" t="s">
        <v>228</v>
      </c>
      <c r="C67" s="10" t="s">
        <v>229</v>
      </c>
      <c r="D67" s="17" t="n">
        <v>2000</v>
      </c>
      <c r="E67" s="17" t="n">
        <v>2000</v>
      </c>
      <c r="F67" s="17" t="n">
        <v>2000</v>
      </c>
      <c r="G67" s="18" t="s">
        <v>84</v>
      </c>
      <c r="H67" s="12"/>
    </row>
    <row r="68" customFormat="false" ht="15" hidden="false" customHeight="false" outlineLevel="0" collapsed="false">
      <c r="A68" s="12" t="s">
        <v>230</v>
      </c>
      <c r="B68" s="12" t="s">
        <v>231</v>
      </c>
      <c r="C68" s="12" t="s">
        <v>33</v>
      </c>
      <c r="D68" s="19" t="n">
        <v>0.15</v>
      </c>
      <c r="E68" s="19" t="n">
        <v>0.15</v>
      </c>
      <c r="F68" s="19" t="n">
        <v>0.15</v>
      </c>
      <c r="G68" s="18" t="s">
        <v>84</v>
      </c>
      <c r="H68" s="12" t="s">
        <v>232</v>
      </c>
    </row>
    <row r="69" customFormat="false" ht="15" hidden="false" customHeight="false" outlineLevel="0" collapsed="false">
      <c r="A69" s="12" t="s">
        <v>233</v>
      </c>
      <c r="B69" s="12" t="s">
        <v>234</v>
      </c>
      <c r="C69" s="12" t="s">
        <v>235</v>
      </c>
      <c r="D69" s="19" t="n">
        <v>0.08</v>
      </c>
      <c r="E69" s="19" t="n">
        <v>0.08</v>
      </c>
      <c r="F69" s="19" t="n">
        <v>0.08</v>
      </c>
      <c r="G69" s="18" t="s">
        <v>84</v>
      </c>
      <c r="H69" s="10" t="s">
        <v>236</v>
      </c>
    </row>
    <row r="70" customFormat="false" ht="15" hidden="false" customHeight="false" outlineLevel="0" collapsed="false">
      <c r="A70" s="12" t="s">
        <v>237</v>
      </c>
      <c r="B70" s="12" t="s">
        <v>238</v>
      </c>
      <c r="C70" s="10" t="s">
        <v>148</v>
      </c>
      <c r="D70" s="17" t="n">
        <v>36</v>
      </c>
      <c r="E70" s="17" t="n">
        <v>36</v>
      </c>
      <c r="F70" s="17" t="n">
        <v>36</v>
      </c>
      <c r="G70" s="18" t="s">
        <v>84</v>
      </c>
      <c r="H70" s="10" t="s">
        <v>239</v>
      </c>
    </row>
    <row r="71" customFormat="false" ht="15" hidden="false" customHeight="false" outlineLevel="0" collapsed="false">
      <c r="A71" s="15" t="s">
        <v>240</v>
      </c>
      <c r="B71" s="16"/>
      <c r="C71" s="16"/>
      <c r="D71" s="16"/>
      <c r="E71" s="16"/>
      <c r="F71" s="16"/>
      <c r="G71" s="16"/>
      <c r="H71" s="16"/>
    </row>
    <row r="72" customFormat="false" ht="15" hidden="false" customHeight="false" outlineLevel="0" collapsed="false">
      <c r="A72" s="12" t="s">
        <v>241</v>
      </c>
      <c r="B72" s="12" t="s">
        <v>242</v>
      </c>
      <c r="C72" s="12" t="s">
        <v>235</v>
      </c>
      <c r="D72" s="19" t="n">
        <v>0.05</v>
      </c>
      <c r="E72" s="19" t="n">
        <v>0.1</v>
      </c>
      <c r="F72" s="19" t="n">
        <v>0.12</v>
      </c>
      <c r="G72" s="18" t="s">
        <v>84</v>
      </c>
      <c r="H72" s="12"/>
    </row>
    <row r="73" customFormat="false" ht="15" hidden="false" customHeight="false" outlineLevel="0" collapsed="false">
      <c r="A73" s="12" t="s">
        <v>243</v>
      </c>
      <c r="B73" s="12" t="s">
        <v>244</v>
      </c>
      <c r="C73" s="10" t="s">
        <v>39</v>
      </c>
      <c r="D73" s="17" t="n">
        <v>800</v>
      </c>
      <c r="E73" s="17" t="n">
        <v>800</v>
      </c>
      <c r="F73" s="17" t="n">
        <v>800</v>
      </c>
      <c r="G73" s="18" t="s">
        <v>84</v>
      </c>
      <c r="H73" s="12"/>
    </row>
    <row r="74" customFormat="false" ht="15" hidden="false" customHeight="false" outlineLevel="0" collapsed="false">
      <c r="A74" s="12" t="s">
        <v>245</v>
      </c>
      <c r="B74" s="10" t="s">
        <v>246</v>
      </c>
      <c r="C74" s="12" t="s">
        <v>33</v>
      </c>
      <c r="D74" s="23" t="n">
        <v>0.06</v>
      </c>
      <c r="E74" s="23" t="n">
        <v>0.1</v>
      </c>
      <c r="F74" s="23" t="n">
        <v>0.12</v>
      </c>
      <c r="G74" s="18" t="s">
        <v>84</v>
      </c>
      <c r="H74" s="12"/>
    </row>
    <row r="75" customFormat="false" ht="15" hidden="false" customHeight="false" outlineLevel="0" collapsed="false">
      <c r="A75" s="12" t="s">
        <v>247</v>
      </c>
      <c r="B75" s="10" t="s">
        <v>248</v>
      </c>
      <c r="C75" s="12" t="s">
        <v>33</v>
      </c>
      <c r="D75" s="19" t="n">
        <v>0.15</v>
      </c>
      <c r="E75" s="19" t="n">
        <v>0.25</v>
      </c>
      <c r="F75" s="19" t="n">
        <v>0.3</v>
      </c>
      <c r="G75" s="18" t="s">
        <v>84</v>
      </c>
      <c r="H75" s="12"/>
    </row>
    <row r="76" customFormat="false" ht="15" hidden="false" customHeight="false" outlineLevel="0" collapsed="false">
      <c r="A76" s="15" t="s">
        <v>249</v>
      </c>
      <c r="B76" s="16"/>
      <c r="C76" s="16"/>
      <c r="D76" s="16"/>
      <c r="E76" s="16"/>
      <c r="F76" s="16"/>
      <c r="G76" s="16"/>
      <c r="H76" s="16"/>
    </row>
    <row r="77" customFormat="false" ht="15" hidden="false" customHeight="false" outlineLevel="0" collapsed="false">
      <c r="A77" s="12" t="s">
        <v>250</v>
      </c>
      <c r="B77" s="10" t="s">
        <v>251</v>
      </c>
      <c r="C77" s="10" t="s">
        <v>151</v>
      </c>
      <c r="D77" s="17" t="n">
        <v>8500</v>
      </c>
      <c r="E77" s="17" t="n">
        <v>8500</v>
      </c>
      <c r="F77" s="17" t="n">
        <v>8500</v>
      </c>
      <c r="G77" s="18" t="s">
        <v>84</v>
      </c>
      <c r="H77" s="10" t="s">
        <v>252</v>
      </c>
    </row>
    <row r="78" customFormat="false" ht="15" hidden="false" customHeight="false" outlineLevel="0" collapsed="false">
      <c r="A78" s="15" t="s">
        <v>253</v>
      </c>
      <c r="B78" s="16"/>
      <c r="C78" s="16"/>
      <c r="D78" s="16"/>
      <c r="E78" s="16"/>
      <c r="F78" s="16"/>
      <c r="G78" s="16"/>
      <c r="H78" s="16"/>
    </row>
    <row r="79" customFormat="false" ht="15" hidden="false" customHeight="false" outlineLevel="0" collapsed="false">
      <c r="A79" s="12" t="s">
        <v>254</v>
      </c>
      <c r="B79" s="12" t="s">
        <v>255</v>
      </c>
      <c r="C79" s="10" t="s">
        <v>178</v>
      </c>
      <c r="D79" s="17" t="n">
        <v>80000</v>
      </c>
      <c r="E79" s="17" t="n">
        <v>80000</v>
      </c>
      <c r="F79" s="17" t="n">
        <v>80000</v>
      </c>
      <c r="G79" s="18" t="s">
        <v>55</v>
      </c>
      <c r="H79" s="10" t="s">
        <v>256</v>
      </c>
    </row>
    <row r="80" customFormat="false" ht="15" hidden="false" customHeight="false" outlineLevel="0" collapsed="false">
      <c r="A80" s="12" t="s">
        <v>257</v>
      </c>
      <c r="B80" s="12" t="s">
        <v>258</v>
      </c>
      <c r="C80" s="10" t="s">
        <v>148</v>
      </c>
      <c r="D80" s="17" t="n">
        <v>24</v>
      </c>
      <c r="E80" s="17" t="n">
        <v>24</v>
      </c>
      <c r="F80" s="17" t="n">
        <v>24</v>
      </c>
      <c r="G80" s="18" t="s">
        <v>55</v>
      </c>
      <c r="H80" s="10" t="s">
        <v>259</v>
      </c>
    </row>
    <row r="81" customFormat="false" ht="15" hidden="false" customHeight="false" outlineLevel="0" collapsed="false">
      <c r="A81" s="12" t="s">
        <v>260</v>
      </c>
      <c r="B81" s="10" t="s">
        <v>261</v>
      </c>
      <c r="C81" s="12" t="s">
        <v>33</v>
      </c>
      <c r="D81" s="19" t="n">
        <v>0.75</v>
      </c>
      <c r="E81" s="19" t="n">
        <v>0.75</v>
      </c>
      <c r="F81" s="19" t="n">
        <v>0.75</v>
      </c>
      <c r="G81" s="18" t="s">
        <v>55</v>
      </c>
      <c r="H81" s="10" t="s">
        <v>262</v>
      </c>
    </row>
    <row r="82" customFormat="false" ht="15" hidden="false" customHeight="false" outlineLevel="0" collapsed="false">
      <c r="A82" s="12" t="s">
        <v>263</v>
      </c>
      <c r="B82" s="10" t="s">
        <v>264</v>
      </c>
      <c r="C82" s="12" t="s">
        <v>33</v>
      </c>
      <c r="D82" s="19" t="n">
        <v>0.1</v>
      </c>
      <c r="E82" s="19" t="n">
        <v>0.1</v>
      </c>
      <c r="F82" s="19" t="n">
        <v>0.1</v>
      </c>
      <c r="G82" s="18" t="s">
        <v>55</v>
      </c>
      <c r="H82" s="10" t="s">
        <v>265</v>
      </c>
    </row>
    <row r="83" customFormat="false" ht="15" hidden="false" customHeight="false" outlineLevel="0" collapsed="false">
      <c r="A83" s="12" t="s">
        <v>266</v>
      </c>
      <c r="B83" s="10" t="s">
        <v>267</v>
      </c>
      <c r="C83" s="10" t="s">
        <v>178</v>
      </c>
      <c r="D83" s="17" t="n">
        <v>30000</v>
      </c>
      <c r="E83" s="17" t="n">
        <v>30000</v>
      </c>
      <c r="F83" s="17" t="n">
        <v>30000</v>
      </c>
      <c r="G83" s="18" t="s">
        <v>84</v>
      </c>
      <c r="H83" s="10" t="s">
        <v>268</v>
      </c>
    </row>
    <row r="84" customFormat="false" ht="15" hidden="false" customHeight="false" outlineLevel="0" collapsed="false">
      <c r="A84" s="12" t="s">
        <v>269</v>
      </c>
      <c r="B84" s="10" t="s">
        <v>270</v>
      </c>
      <c r="C84" s="10" t="s">
        <v>178</v>
      </c>
      <c r="D84" s="17" t="n">
        <v>50000</v>
      </c>
      <c r="E84" s="17" t="n">
        <v>50000</v>
      </c>
      <c r="F84" s="17" t="n">
        <v>50000</v>
      </c>
      <c r="G84" s="18" t="s">
        <v>271</v>
      </c>
      <c r="H84" s="12" t="s">
        <v>272</v>
      </c>
    </row>
    <row r="85" customFormat="false" ht="15" hidden="false" customHeight="false" outlineLevel="0" collapsed="false">
      <c r="A85" s="12" t="s">
        <v>273</v>
      </c>
      <c r="B85" s="10" t="s">
        <v>274</v>
      </c>
      <c r="C85" s="10" t="s">
        <v>178</v>
      </c>
      <c r="D85" s="17" t="n">
        <v>15000</v>
      </c>
      <c r="E85" s="17" t="n">
        <v>15000</v>
      </c>
      <c r="F85" s="17" t="n">
        <v>15000</v>
      </c>
      <c r="G85" s="18" t="s">
        <v>55</v>
      </c>
      <c r="H85" s="10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9" min="5" style="0" width="11"/>
    <col collapsed="false" customWidth="true" hidden="false" outlineLevel="0" max="10" min="10" style="0" width="12"/>
    <col collapsed="false" customWidth="true" hidden="false" outlineLevel="0" max="11" min="11" style="0" width="60"/>
  </cols>
  <sheetData>
    <row r="1" customFormat="false" ht="19.4" hidden="false" customHeight="false" outlineLevel="0" collapsed="false">
      <c r="A1" s="6" t="s">
        <v>276</v>
      </c>
    </row>
    <row r="3" customFormat="false" ht="15" hidden="false" customHeight="false" outlineLevel="0" collapsed="false">
      <c r="A3" s="8" t="s">
        <v>48</v>
      </c>
      <c r="B3" s="9" t="s">
        <v>49</v>
      </c>
      <c r="C3" s="9" t="s">
        <v>23</v>
      </c>
      <c r="D3" s="8" t="s">
        <v>277</v>
      </c>
      <c r="E3" s="8" t="s">
        <v>24</v>
      </c>
      <c r="F3" s="8" t="s">
        <v>25</v>
      </c>
      <c r="G3" s="8" t="s">
        <v>26</v>
      </c>
      <c r="H3" s="8" t="s">
        <v>27</v>
      </c>
      <c r="I3" s="8" t="s">
        <v>28</v>
      </c>
      <c r="J3" s="8" t="s">
        <v>5</v>
      </c>
      <c r="K3" s="8" t="s">
        <v>50</v>
      </c>
    </row>
    <row r="4" customFormat="false" ht="15" hidden="false" customHeight="false" outlineLevel="0" collapsed="false">
      <c r="A4" s="12" t="s">
        <v>278</v>
      </c>
      <c r="B4" s="10" t="s">
        <v>279</v>
      </c>
      <c r="C4" s="12" t="s">
        <v>33</v>
      </c>
      <c r="D4" s="12" t="s">
        <v>22</v>
      </c>
      <c r="E4" s="19" t="n">
        <v>1</v>
      </c>
      <c r="F4" s="19" t="n">
        <v>0.3</v>
      </c>
      <c r="G4" s="19" t="n">
        <v>1</v>
      </c>
      <c r="H4" s="19" t="n">
        <v>1</v>
      </c>
      <c r="I4" s="19" t="n">
        <v>1</v>
      </c>
      <c r="J4" s="18" t="s">
        <v>84</v>
      </c>
      <c r="K4" s="12" t="s">
        <v>280</v>
      </c>
    </row>
    <row r="5" customFormat="false" ht="15" hidden="false" customHeight="false" outlineLevel="0" collapsed="false">
      <c r="A5" s="12" t="s">
        <v>278</v>
      </c>
      <c r="B5" s="10" t="s">
        <v>279</v>
      </c>
      <c r="C5" s="12" t="s">
        <v>33</v>
      </c>
      <c r="D5" s="12" t="s">
        <v>45</v>
      </c>
      <c r="E5" s="19" t="n">
        <v>1</v>
      </c>
      <c r="F5" s="19" t="n">
        <v>0.5</v>
      </c>
      <c r="G5" s="19" t="n">
        <v>1</v>
      </c>
      <c r="H5" s="19" t="n">
        <v>1</v>
      </c>
      <c r="I5" s="19" t="n">
        <v>1</v>
      </c>
      <c r="J5" s="18" t="s">
        <v>84</v>
      </c>
      <c r="K5" s="12" t="s">
        <v>280</v>
      </c>
    </row>
    <row r="6" customFormat="false" ht="15" hidden="false" customHeight="false" outlineLevel="0" collapsed="false">
      <c r="A6" s="12" t="s">
        <v>278</v>
      </c>
      <c r="B6" s="10" t="s">
        <v>279</v>
      </c>
      <c r="C6" s="12" t="s">
        <v>33</v>
      </c>
      <c r="D6" s="12" t="s">
        <v>46</v>
      </c>
      <c r="E6" s="19" t="n">
        <v>1</v>
      </c>
      <c r="F6" s="19" t="n">
        <v>0.6</v>
      </c>
      <c r="G6" s="19" t="n">
        <v>1</v>
      </c>
      <c r="H6" s="19" t="n">
        <v>1</v>
      </c>
      <c r="I6" s="19" t="n">
        <v>1</v>
      </c>
      <c r="J6" s="18" t="s">
        <v>84</v>
      </c>
      <c r="K6" s="12" t="s">
        <v>280</v>
      </c>
    </row>
    <row r="8" customFormat="false" ht="15" hidden="false" customHeight="false" outlineLevel="0" collapsed="false">
      <c r="A8" s="12" t="s">
        <v>281</v>
      </c>
      <c r="B8" s="12" t="s">
        <v>282</v>
      </c>
      <c r="C8" s="12" t="s">
        <v>33</v>
      </c>
      <c r="D8" s="12" t="s">
        <v>22</v>
      </c>
      <c r="E8" s="23" t="n">
        <v>0.4</v>
      </c>
      <c r="F8" s="23" t="n">
        <v>0.45</v>
      </c>
      <c r="G8" s="23" t="n">
        <v>0.55</v>
      </c>
      <c r="H8" s="23" t="n">
        <v>0.62</v>
      </c>
      <c r="I8" s="23" t="n">
        <v>0.65</v>
      </c>
      <c r="J8" s="18" t="s">
        <v>271</v>
      </c>
      <c r="K8" s="12" t="s">
        <v>283</v>
      </c>
    </row>
    <row r="9" customFormat="false" ht="15" hidden="false" customHeight="false" outlineLevel="0" collapsed="false">
      <c r="A9" s="12" t="s">
        <v>281</v>
      </c>
      <c r="B9" s="12" t="s">
        <v>282</v>
      </c>
      <c r="C9" s="12" t="s">
        <v>33</v>
      </c>
      <c r="D9" s="12" t="s">
        <v>45</v>
      </c>
      <c r="E9" s="23" t="n">
        <v>0.4</v>
      </c>
      <c r="F9" s="23" t="n">
        <v>0.5</v>
      </c>
      <c r="G9" s="23" t="n">
        <v>0.65</v>
      </c>
      <c r="H9" s="23" t="n">
        <v>0.75</v>
      </c>
      <c r="I9" s="23" t="n">
        <v>0.8</v>
      </c>
      <c r="J9" s="18" t="s">
        <v>271</v>
      </c>
      <c r="K9" s="12" t="s">
        <v>283</v>
      </c>
    </row>
    <row r="10" customFormat="false" ht="15" hidden="false" customHeight="false" outlineLevel="0" collapsed="false">
      <c r="A10" s="12" t="s">
        <v>281</v>
      </c>
      <c r="B10" s="12" t="s">
        <v>282</v>
      </c>
      <c r="C10" s="12" t="s">
        <v>33</v>
      </c>
      <c r="D10" s="12" t="s">
        <v>46</v>
      </c>
      <c r="E10" s="23" t="n">
        <v>0.4</v>
      </c>
      <c r="F10" s="23" t="n">
        <v>0.55</v>
      </c>
      <c r="G10" s="23" t="n">
        <v>0.7</v>
      </c>
      <c r="H10" s="23" t="n">
        <v>0.8</v>
      </c>
      <c r="I10" s="23" t="n">
        <v>0.85</v>
      </c>
      <c r="J10" s="18" t="s">
        <v>271</v>
      </c>
      <c r="K10" s="12" t="s">
        <v>283</v>
      </c>
    </row>
    <row r="12" customFormat="false" ht="15" hidden="false" customHeight="false" outlineLevel="0" collapsed="false">
      <c r="A12" s="12" t="s">
        <v>284</v>
      </c>
      <c r="B12" s="12" t="s">
        <v>285</v>
      </c>
      <c r="C12" s="10" t="s">
        <v>138</v>
      </c>
      <c r="D12" s="12" t="s">
        <v>22</v>
      </c>
      <c r="E12" s="21" t="n">
        <v>1600</v>
      </c>
      <c r="F12" s="21" t="n">
        <v>1500</v>
      </c>
      <c r="G12" s="21" t="n">
        <v>1300</v>
      </c>
      <c r="H12" s="21" t="n">
        <v>1180</v>
      </c>
      <c r="I12" s="21" t="n">
        <v>1080</v>
      </c>
      <c r="J12" s="18" t="s">
        <v>84</v>
      </c>
      <c r="K12" s="12" t="s">
        <v>286</v>
      </c>
    </row>
    <row r="13" customFormat="false" ht="15" hidden="false" customHeight="false" outlineLevel="0" collapsed="false">
      <c r="A13" s="12" t="s">
        <v>284</v>
      </c>
      <c r="B13" s="12" t="s">
        <v>285</v>
      </c>
      <c r="C13" s="10" t="s">
        <v>138</v>
      </c>
      <c r="D13" s="12" t="s">
        <v>45</v>
      </c>
      <c r="E13" s="21" t="n">
        <v>1600</v>
      </c>
      <c r="F13" s="21" t="n">
        <v>1450</v>
      </c>
      <c r="G13" s="21" t="n">
        <v>1150</v>
      </c>
      <c r="H13" s="21" t="n">
        <v>1000</v>
      </c>
      <c r="I13" s="21" t="n">
        <v>900</v>
      </c>
      <c r="J13" s="18" t="s">
        <v>84</v>
      </c>
      <c r="K13" s="12" t="s">
        <v>286</v>
      </c>
    </row>
    <row r="14" customFormat="false" ht="15" hidden="false" customHeight="false" outlineLevel="0" collapsed="false">
      <c r="A14" s="12" t="s">
        <v>284</v>
      </c>
      <c r="B14" s="12" t="s">
        <v>285</v>
      </c>
      <c r="C14" s="10" t="s">
        <v>138</v>
      </c>
      <c r="D14" s="12" t="s">
        <v>46</v>
      </c>
      <c r="E14" s="21" t="n">
        <v>1600</v>
      </c>
      <c r="F14" s="21" t="n">
        <v>1400</v>
      </c>
      <c r="G14" s="21" t="n">
        <v>1080</v>
      </c>
      <c r="H14" s="21" t="n">
        <v>920</v>
      </c>
      <c r="I14" s="21" t="n">
        <v>800</v>
      </c>
      <c r="J14" s="18" t="s">
        <v>84</v>
      </c>
      <c r="K14" s="12" t="s">
        <v>286</v>
      </c>
    </row>
    <row r="16" customFormat="false" ht="15" hidden="false" customHeight="false" outlineLevel="0" collapsed="false">
      <c r="A16" s="12" t="s">
        <v>287</v>
      </c>
      <c r="B16" s="10" t="s">
        <v>288</v>
      </c>
      <c r="C16" s="10" t="s">
        <v>138</v>
      </c>
      <c r="D16" s="12" t="s">
        <v>22</v>
      </c>
      <c r="E16" s="17" t="n">
        <v>120</v>
      </c>
      <c r="F16" s="17" t="n">
        <v>100</v>
      </c>
      <c r="G16" s="17" t="n">
        <v>75</v>
      </c>
      <c r="H16" s="17" t="n">
        <v>62</v>
      </c>
      <c r="I16" s="17" t="n">
        <v>55</v>
      </c>
      <c r="J16" s="18" t="s">
        <v>84</v>
      </c>
      <c r="K16" s="10" t="s">
        <v>289</v>
      </c>
    </row>
    <row r="17" customFormat="false" ht="15" hidden="false" customHeight="false" outlineLevel="0" collapsed="false">
      <c r="A17" s="12" t="s">
        <v>287</v>
      </c>
      <c r="B17" s="10" t="s">
        <v>288</v>
      </c>
      <c r="C17" s="10" t="s">
        <v>138</v>
      </c>
      <c r="D17" s="12" t="s">
        <v>45</v>
      </c>
      <c r="E17" s="17" t="n">
        <v>120</v>
      </c>
      <c r="F17" s="17" t="n">
        <v>90</v>
      </c>
      <c r="G17" s="17" t="n">
        <v>60</v>
      </c>
      <c r="H17" s="17" t="n">
        <v>45</v>
      </c>
      <c r="I17" s="17" t="n">
        <v>38</v>
      </c>
      <c r="J17" s="18" t="s">
        <v>84</v>
      </c>
      <c r="K17" s="10" t="s">
        <v>289</v>
      </c>
    </row>
    <row r="18" customFormat="false" ht="15" hidden="false" customHeight="false" outlineLevel="0" collapsed="false">
      <c r="A18" s="12" t="s">
        <v>287</v>
      </c>
      <c r="B18" s="10" t="s">
        <v>288</v>
      </c>
      <c r="C18" s="10" t="s">
        <v>138</v>
      </c>
      <c r="D18" s="12" t="s">
        <v>46</v>
      </c>
      <c r="E18" s="17" t="n">
        <v>120</v>
      </c>
      <c r="F18" s="17" t="n">
        <v>85</v>
      </c>
      <c r="G18" s="17" t="n">
        <v>52</v>
      </c>
      <c r="H18" s="17" t="n">
        <v>38</v>
      </c>
      <c r="I18" s="17" t="n">
        <v>30</v>
      </c>
      <c r="J18" s="18" t="s">
        <v>84</v>
      </c>
      <c r="K18" s="10" t="s">
        <v>289</v>
      </c>
    </row>
    <row r="20" customFormat="false" ht="15" hidden="false" customHeight="false" outlineLevel="0" collapsed="false">
      <c r="A20" s="12" t="s">
        <v>290</v>
      </c>
      <c r="B20" s="10" t="s">
        <v>291</v>
      </c>
      <c r="C20" s="10" t="s">
        <v>162</v>
      </c>
      <c r="D20" s="12" t="s">
        <v>22</v>
      </c>
      <c r="E20" s="20" t="n">
        <v>2</v>
      </c>
      <c r="F20" s="20" t="n">
        <v>2</v>
      </c>
      <c r="G20" s="20" t="n">
        <v>2</v>
      </c>
      <c r="H20" s="20" t="n">
        <v>2</v>
      </c>
      <c r="I20" s="20" t="n">
        <v>2</v>
      </c>
      <c r="J20" s="18" t="s">
        <v>84</v>
      </c>
      <c r="K20" s="10" t="s">
        <v>292</v>
      </c>
    </row>
    <row r="21" customFormat="false" ht="15" hidden="false" customHeight="false" outlineLevel="0" collapsed="false">
      <c r="A21" s="12" t="s">
        <v>290</v>
      </c>
      <c r="B21" s="10" t="s">
        <v>291</v>
      </c>
      <c r="C21" s="10" t="s">
        <v>162</v>
      </c>
      <c r="D21" s="12" t="s">
        <v>45</v>
      </c>
      <c r="E21" s="20" t="n">
        <v>2</v>
      </c>
      <c r="F21" s="20" t="n">
        <v>2</v>
      </c>
      <c r="G21" s="20" t="n">
        <v>2</v>
      </c>
      <c r="H21" s="20" t="n">
        <v>1.5</v>
      </c>
      <c r="I21" s="20" t="n">
        <v>1.5</v>
      </c>
      <c r="J21" s="18" t="s">
        <v>84</v>
      </c>
      <c r="K21" s="10" t="s">
        <v>292</v>
      </c>
    </row>
    <row r="22" customFormat="false" ht="15" hidden="false" customHeight="false" outlineLevel="0" collapsed="false">
      <c r="A22" s="12" t="s">
        <v>290</v>
      </c>
      <c r="B22" s="10" t="s">
        <v>291</v>
      </c>
      <c r="C22" s="10" t="s">
        <v>162</v>
      </c>
      <c r="D22" s="12" t="s">
        <v>46</v>
      </c>
      <c r="E22" s="20" t="n">
        <v>2</v>
      </c>
      <c r="F22" s="20" t="n">
        <v>2</v>
      </c>
      <c r="G22" s="20" t="n">
        <v>1.5</v>
      </c>
      <c r="H22" s="20" t="n">
        <v>1.2</v>
      </c>
      <c r="I22" s="20" t="n">
        <v>1</v>
      </c>
      <c r="J22" s="18" t="s">
        <v>84</v>
      </c>
      <c r="K22" s="10" t="s">
        <v>292</v>
      </c>
    </row>
    <row r="24" customFormat="false" ht="15" hidden="false" customHeight="false" outlineLevel="0" collapsed="false">
      <c r="A24" s="12" t="s">
        <v>293</v>
      </c>
      <c r="B24" s="10" t="s">
        <v>294</v>
      </c>
      <c r="C24" s="10" t="s">
        <v>213</v>
      </c>
      <c r="D24" s="12" t="s">
        <v>22</v>
      </c>
      <c r="E24" s="21" t="n">
        <v>15</v>
      </c>
      <c r="F24" s="21" t="n">
        <v>14</v>
      </c>
      <c r="G24" s="21" t="n">
        <v>12.5</v>
      </c>
      <c r="H24" s="21" t="n">
        <v>11</v>
      </c>
      <c r="I24" s="21" t="n">
        <v>10</v>
      </c>
      <c r="J24" s="18" t="s">
        <v>84</v>
      </c>
      <c r="K24" s="10" t="s">
        <v>295</v>
      </c>
    </row>
    <row r="25" customFormat="false" ht="15" hidden="false" customHeight="false" outlineLevel="0" collapsed="false">
      <c r="A25" s="12" t="s">
        <v>293</v>
      </c>
      <c r="B25" s="10" t="s">
        <v>294</v>
      </c>
      <c r="C25" s="10" t="s">
        <v>213</v>
      </c>
      <c r="D25" s="12" t="s">
        <v>45</v>
      </c>
      <c r="E25" s="21" t="n">
        <v>15</v>
      </c>
      <c r="F25" s="21" t="n">
        <v>13</v>
      </c>
      <c r="G25" s="21" t="n">
        <v>11</v>
      </c>
      <c r="H25" s="21" t="n">
        <v>9</v>
      </c>
      <c r="I25" s="21" t="n">
        <v>8</v>
      </c>
      <c r="J25" s="18" t="s">
        <v>84</v>
      </c>
      <c r="K25" s="10" t="s">
        <v>295</v>
      </c>
    </row>
    <row r="26" customFormat="false" ht="15" hidden="false" customHeight="false" outlineLevel="0" collapsed="false">
      <c r="A26" s="12" t="s">
        <v>293</v>
      </c>
      <c r="B26" s="10" t="s">
        <v>294</v>
      </c>
      <c r="C26" s="10" t="s">
        <v>213</v>
      </c>
      <c r="D26" s="12" t="s">
        <v>46</v>
      </c>
      <c r="E26" s="21" t="n">
        <v>15</v>
      </c>
      <c r="F26" s="21" t="n">
        <v>12</v>
      </c>
      <c r="G26" s="21" t="n">
        <v>10</v>
      </c>
      <c r="H26" s="21" t="n">
        <v>8</v>
      </c>
      <c r="I26" s="21" t="n">
        <v>7</v>
      </c>
      <c r="J26" s="18" t="s">
        <v>84</v>
      </c>
      <c r="K26" s="10" t="s">
        <v>295</v>
      </c>
    </row>
    <row r="28" customFormat="false" ht="15" hidden="false" customHeight="false" outlineLevel="0" collapsed="false">
      <c r="A28" s="12" t="s">
        <v>296</v>
      </c>
      <c r="B28" s="10" t="s">
        <v>297</v>
      </c>
      <c r="C28" s="10" t="s">
        <v>39</v>
      </c>
      <c r="D28" s="12" t="s">
        <v>22</v>
      </c>
      <c r="E28" s="21" t="n">
        <v>0</v>
      </c>
      <c r="F28" s="21" t="n">
        <v>3</v>
      </c>
      <c r="G28" s="21" t="n">
        <v>20</v>
      </c>
      <c r="H28" s="21" t="n">
        <v>35</v>
      </c>
      <c r="I28" s="21" t="n">
        <v>40</v>
      </c>
      <c r="J28" s="18" t="s">
        <v>271</v>
      </c>
      <c r="K28" s="12" t="s">
        <v>298</v>
      </c>
    </row>
    <row r="29" customFormat="false" ht="15" hidden="false" customHeight="false" outlineLevel="0" collapsed="false">
      <c r="A29" s="12" t="s">
        <v>296</v>
      </c>
      <c r="B29" s="10" t="s">
        <v>297</v>
      </c>
      <c r="C29" s="10" t="s">
        <v>39</v>
      </c>
      <c r="D29" s="12" t="s">
        <v>45</v>
      </c>
      <c r="E29" s="21" t="n">
        <v>0</v>
      </c>
      <c r="F29" s="21" t="n">
        <v>3</v>
      </c>
      <c r="G29" s="21" t="n">
        <v>30</v>
      </c>
      <c r="H29" s="21" t="n">
        <v>50</v>
      </c>
      <c r="I29" s="21" t="n">
        <v>60</v>
      </c>
      <c r="J29" s="18" t="s">
        <v>271</v>
      </c>
      <c r="K29" s="12" t="s">
        <v>298</v>
      </c>
    </row>
    <row r="30" customFormat="false" ht="15" hidden="false" customHeight="false" outlineLevel="0" collapsed="false">
      <c r="A30" s="12" t="s">
        <v>296</v>
      </c>
      <c r="B30" s="10" t="s">
        <v>297</v>
      </c>
      <c r="C30" s="10" t="s">
        <v>39</v>
      </c>
      <c r="D30" s="12" t="s">
        <v>46</v>
      </c>
      <c r="E30" s="21" t="n">
        <v>0</v>
      </c>
      <c r="F30" s="21" t="n">
        <v>3</v>
      </c>
      <c r="G30" s="21" t="n">
        <v>35</v>
      </c>
      <c r="H30" s="21" t="n">
        <v>60</v>
      </c>
      <c r="I30" s="21" t="n">
        <v>70</v>
      </c>
      <c r="J30" s="18" t="s">
        <v>271</v>
      </c>
      <c r="K30" s="12" t="s">
        <v>298</v>
      </c>
    </row>
    <row r="32" customFormat="false" ht="15" hidden="false" customHeight="false" outlineLevel="0" collapsed="false">
      <c r="A32" s="12" t="s">
        <v>299</v>
      </c>
      <c r="B32" s="10" t="s">
        <v>300</v>
      </c>
      <c r="C32" s="10" t="s">
        <v>39</v>
      </c>
      <c r="D32" s="12" t="s">
        <v>22</v>
      </c>
      <c r="E32" s="21" t="n">
        <v>0</v>
      </c>
      <c r="F32" s="21" t="n">
        <v>0</v>
      </c>
      <c r="G32" s="21" t="n">
        <v>10</v>
      </c>
      <c r="H32" s="21" t="n">
        <v>60</v>
      </c>
      <c r="I32" s="21" t="n">
        <v>150</v>
      </c>
      <c r="J32" s="18" t="s">
        <v>271</v>
      </c>
      <c r="K32" s="12" t="s">
        <v>301</v>
      </c>
    </row>
    <row r="33" customFormat="false" ht="15" hidden="false" customHeight="false" outlineLevel="0" collapsed="false">
      <c r="A33" s="12" t="s">
        <v>299</v>
      </c>
      <c r="B33" s="10" t="s">
        <v>300</v>
      </c>
      <c r="C33" s="10" t="s">
        <v>39</v>
      </c>
      <c r="D33" s="12" t="s">
        <v>45</v>
      </c>
      <c r="E33" s="21" t="n">
        <v>0</v>
      </c>
      <c r="F33" s="21" t="n">
        <v>0</v>
      </c>
      <c r="G33" s="21" t="n">
        <v>20</v>
      </c>
      <c r="H33" s="21" t="n">
        <v>130</v>
      </c>
      <c r="I33" s="21" t="n">
        <v>340</v>
      </c>
      <c r="J33" s="18" t="s">
        <v>271</v>
      </c>
      <c r="K33" s="12" t="s">
        <v>301</v>
      </c>
    </row>
    <row r="34" customFormat="false" ht="15" hidden="false" customHeight="false" outlineLevel="0" collapsed="false">
      <c r="A34" s="12" t="s">
        <v>299</v>
      </c>
      <c r="B34" s="10" t="s">
        <v>300</v>
      </c>
      <c r="C34" s="10" t="s">
        <v>39</v>
      </c>
      <c r="D34" s="12" t="s">
        <v>46</v>
      </c>
      <c r="E34" s="21" t="n">
        <v>0</v>
      </c>
      <c r="F34" s="21" t="n">
        <v>0</v>
      </c>
      <c r="G34" s="21" t="n">
        <v>30</v>
      </c>
      <c r="H34" s="21" t="n">
        <v>220</v>
      </c>
      <c r="I34" s="21" t="n">
        <v>600</v>
      </c>
      <c r="J34" s="18" t="s">
        <v>271</v>
      </c>
      <c r="K34" s="12" t="s">
        <v>301</v>
      </c>
    </row>
    <row r="36" customFormat="false" ht="15" hidden="false" customHeight="false" outlineLevel="0" collapsed="false">
      <c r="A36" s="12" t="s">
        <v>302</v>
      </c>
      <c r="B36" s="12" t="s">
        <v>303</v>
      </c>
      <c r="C36" s="12" t="s">
        <v>33</v>
      </c>
      <c r="D36" s="12" t="s">
        <v>22</v>
      </c>
      <c r="E36" s="23" t="n">
        <v>1</v>
      </c>
      <c r="F36" s="23" t="n">
        <v>1</v>
      </c>
      <c r="G36" s="23" t="n">
        <v>0.75</v>
      </c>
      <c r="H36" s="23" t="n">
        <v>0.75</v>
      </c>
      <c r="I36" s="23" t="n">
        <v>0.75</v>
      </c>
      <c r="J36" s="18" t="s">
        <v>84</v>
      </c>
      <c r="K36" s="10" t="s">
        <v>304</v>
      </c>
    </row>
    <row r="37" customFormat="false" ht="15" hidden="false" customHeight="false" outlineLevel="0" collapsed="false">
      <c r="A37" s="12" t="s">
        <v>302</v>
      </c>
      <c r="B37" s="12" t="s">
        <v>303</v>
      </c>
      <c r="C37" s="12" t="s">
        <v>33</v>
      </c>
      <c r="D37" s="12" t="s">
        <v>45</v>
      </c>
      <c r="E37" s="23" t="n">
        <v>1</v>
      </c>
      <c r="F37" s="23" t="n">
        <v>1</v>
      </c>
      <c r="G37" s="23" t="n">
        <v>0.85</v>
      </c>
      <c r="H37" s="23" t="n">
        <v>0.85</v>
      </c>
      <c r="I37" s="23" t="n">
        <v>0.85</v>
      </c>
      <c r="J37" s="18" t="s">
        <v>84</v>
      </c>
      <c r="K37" s="10" t="s">
        <v>304</v>
      </c>
    </row>
    <row r="38" customFormat="false" ht="15" hidden="false" customHeight="false" outlineLevel="0" collapsed="false">
      <c r="A38" s="12" t="s">
        <v>302</v>
      </c>
      <c r="B38" s="12" t="s">
        <v>303</v>
      </c>
      <c r="C38" s="12" t="s">
        <v>33</v>
      </c>
      <c r="D38" s="12" t="s">
        <v>46</v>
      </c>
      <c r="E38" s="23" t="n">
        <v>1</v>
      </c>
      <c r="F38" s="23" t="n">
        <v>1</v>
      </c>
      <c r="G38" s="23" t="n">
        <v>0.85</v>
      </c>
      <c r="H38" s="23" t="n">
        <v>0.85</v>
      </c>
      <c r="I38" s="23" t="n">
        <v>0.85</v>
      </c>
      <c r="J38" s="18" t="s">
        <v>84</v>
      </c>
      <c r="K38" s="10" t="s">
        <v>304</v>
      </c>
    </row>
    <row r="40" customFormat="false" ht="15" hidden="false" customHeight="false" outlineLevel="0" collapsed="false">
      <c r="A40" s="12" t="s">
        <v>305</v>
      </c>
      <c r="B40" s="12" t="s">
        <v>306</v>
      </c>
      <c r="C40" s="12" t="s">
        <v>33</v>
      </c>
      <c r="D40" s="12" t="s">
        <v>22</v>
      </c>
      <c r="E40" s="19" t="n">
        <v>0</v>
      </c>
      <c r="F40" s="19" t="n">
        <v>0.3</v>
      </c>
      <c r="G40" s="19" t="n">
        <v>0.3</v>
      </c>
      <c r="H40" s="19" t="n">
        <v>0.35</v>
      </c>
      <c r="I40" s="19" t="n">
        <v>0.35</v>
      </c>
      <c r="J40" s="18" t="s">
        <v>84</v>
      </c>
      <c r="K40" s="12"/>
    </row>
    <row r="41" customFormat="false" ht="15" hidden="false" customHeight="false" outlineLevel="0" collapsed="false">
      <c r="A41" s="12" t="s">
        <v>305</v>
      </c>
      <c r="B41" s="12" t="s">
        <v>306</v>
      </c>
      <c r="C41" s="12" t="s">
        <v>33</v>
      </c>
      <c r="D41" s="12" t="s">
        <v>45</v>
      </c>
      <c r="E41" s="19" t="n">
        <v>0</v>
      </c>
      <c r="F41" s="19" t="n">
        <v>0.3</v>
      </c>
      <c r="G41" s="19" t="n">
        <v>0.3</v>
      </c>
      <c r="H41" s="19" t="n">
        <v>0.4</v>
      </c>
      <c r="I41" s="19" t="n">
        <v>0.4</v>
      </c>
      <c r="J41" s="18" t="s">
        <v>84</v>
      </c>
      <c r="K41" s="12"/>
    </row>
    <row r="42" customFormat="false" ht="15" hidden="false" customHeight="false" outlineLevel="0" collapsed="false">
      <c r="A42" s="12" t="s">
        <v>305</v>
      </c>
      <c r="B42" s="12" t="s">
        <v>306</v>
      </c>
      <c r="C42" s="12" t="s">
        <v>33</v>
      </c>
      <c r="D42" s="12" t="s">
        <v>46</v>
      </c>
      <c r="E42" s="19" t="n">
        <v>0</v>
      </c>
      <c r="F42" s="19" t="n">
        <v>0.3</v>
      </c>
      <c r="G42" s="19" t="n">
        <v>0.3</v>
      </c>
      <c r="H42" s="19" t="n">
        <v>0.45</v>
      </c>
      <c r="I42" s="19" t="n">
        <v>0.45</v>
      </c>
      <c r="J42" s="18" t="s">
        <v>84</v>
      </c>
      <c r="K42" s="12"/>
    </row>
    <row r="44" customFormat="false" ht="15" hidden="false" customHeight="false" outlineLevel="0" collapsed="false">
      <c r="A44" s="12" t="s">
        <v>307</v>
      </c>
      <c r="B44" s="12" t="s">
        <v>308</v>
      </c>
      <c r="C44" s="12" t="s">
        <v>309</v>
      </c>
      <c r="D44" s="12" t="s">
        <v>22</v>
      </c>
      <c r="E44" s="17" t="n">
        <v>0</v>
      </c>
      <c r="F44" s="17" t="n">
        <v>0</v>
      </c>
      <c r="G44" s="17" t="n">
        <v>0</v>
      </c>
      <c r="H44" s="17" t="n">
        <v>1</v>
      </c>
      <c r="I44" s="17" t="n">
        <v>1</v>
      </c>
      <c r="J44" s="18" t="s">
        <v>84</v>
      </c>
      <c r="K44" s="12"/>
    </row>
    <row r="45" customFormat="false" ht="15" hidden="false" customHeight="false" outlineLevel="0" collapsed="false">
      <c r="A45" s="12" t="s">
        <v>307</v>
      </c>
      <c r="B45" s="12" t="s">
        <v>308</v>
      </c>
      <c r="C45" s="12" t="s">
        <v>309</v>
      </c>
      <c r="D45" s="12" t="s">
        <v>45</v>
      </c>
      <c r="E45" s="17" t="n">
        <v>0</v>
      </c>
      <c r="F45" s="17" t="n">
        <v>0</v>
      </c>
      <c r="G45" s="17" t="n">
        <v>0</v>
      </c>
      <c r="H45" s="17" t="n">
        <v>1</v>
      </c>
      <c r="I45" s="17" t="n">
        <v>1</v>
      </c>
      <c r="J45" s="18" t="s">
        <v>84</v>
      </c>
      <c r="K45" s="12"/>
    </row>
    <row r="46" customFormat="false" ht="15" hidden="false" customHeight="false" outlineLevel="0" collapsed="false">
      <c r="A46" s="12" t="s">
        <v>307</v>
      </c>
      <c r="B46" s="12" t="s">
        <v>308</v>
      </c>
      <c r="C46" s="12" t="s">
        <v>309</v>
      </c>
      <c r="D46" s="12" t="s">
        <v>46</v>
      </c>
      <c r="E46" s="17" t="n">
        <v>0</v>
      </c>
      <c r="F46" s="17" t="n">
        <v>0</v>
      </c>
      <c r="G46" s="17" t="n">
        <v>0</v>
      </c>
      <c r="H46" s="17" t="n">
        <v>1</v>
      </c>
      <c r="I46" s="17" t="n">
        <v>1</v>
      </c>
      <c r="J46" s="18" t="s">
        <v>84</v>
      </c>
      <c r="K46" s="12"/>
    </row>
    <row r="48" customFormat="false" ht="15" hidden="false" customHeight="false" outlineLevel="0" collapsed="false">
      <c r="A48" s="12" t="s">
        <v>310</v>
      </c>
      <c r="B48" s="10" t="s">
        <v>311</v>
      </c>
      <c r="C48" s="10" t="s">
        <v>312</v>
      </c>
      <c r="D48" s="12" t="s">
        <v>22</v>
      </c>
      <c r="E48" s="17" t="n">
        <v>0</v>
      </c>
      <c r="F48" s="17" t="n">
        <v>0</v>
      </c>
      <c r="G48" s="17" t="n">
        <v>0</v>
      </c>
      <c r="H48" s="17" t="n">
        <v>1</v>
      </c>
      <c r="I48" s="17" t="n">
        <v>2</v>
      </c>
      <c r="J48" s="18" t="s">
        <v>271</v>
      </c>
      <c r="K48" s="10" t="s">
        <v>313</v>
      </c>
    </row>
    <row r="49" customFormat="false" ht="15" hidden="false" customHeight="false" outlineLevel="0" collapsed="false">
      <c r="A49" s="12" t="s">
        <v>310</v>
      </c>
      <c r="B49" s="10" t="s">
        <v>311</v>
      </c>
      <c r="C49" s="10" t="s">
        <v>312</v>
      </c>
      <c r="D49" s="12" t="s">
        <v>45</v>
      </c>
      <c r="E49" s="17" t="n">
        <v>0</v>
      </c>
      <c r="F49" s="17" t="n">
        <v>0</v>
      </c>
      <c r="G49" s="17" t="n">
        <v>1</v>
      </c>
      <c r="H49" s="17" t="n">
        <v>2</v>
      </c>
      <c r="I49" s="17" t="n">
        <v>3</v>
      </c>
      <c r="J49" s="18" t="s">
        <v>271</v>
      </c>
      <c r="K49" s="10" t="s">
        <v>313</v>
      </c>
    </row>
    <row r="50" customFormat="false" ht="15" hidden="false" customHeight="false" outlineLevel="0" collapsed="false">
      <c r="A50" s="12" t="s">
        <v>310</v>
      </c>
      <c r="B50" s="10" t="s">
        <v>311</v>
      </c>
      <c r="C50" s="10" t="s">
        <v>312</v>
      </c>
      <c r="D50" s="12" t="s">
        <v>46</v>
      </c>
      <c r="E50" s="17" t="n">
        <v>0</v>
      </c>
      <c r="F50" s="17" t="n">
        <v>0</v>
      </c>
      <c r="G50" s="17" t="n">
        <v>2</v>
      </c>
      <c r="H50" s="17" t="n">
        <v>3</v>
      </c>
      <c r="I50" s="17" t="n">
        <v>4</v>
      </c>
      <c r="J50" s="18" t="s">
        <v>271</v>
      </c>
      <c r="K50" s="10" t="s">
        <v>313</v>
      </c>
    </row>
    <row r="52" customFormat="false" ht="15" hidden="false" customHeight="false" outlineLevel="0" collapsed="false">
      <c r="A52" s="12" t="s">
        <v>314</v>
      </c>
      <c r="B52" s="10" t="s">
        <v>315</v>
      </c>
      <c r="C52" s="10" t="s">
        <v>316</v>
      </c>
      <c r="D52" s="12" t="s">
        <v>22</v>
      </c>
      <c r="E52" s="17" t="n">
        <v>4.4</v>
      </c>
      <c r="F52" s="17" t="n">
        <v>7</v>
      </c>
      <c r="G52" s="17" t="n">
        <v>20</v>
      </c>
      <c r="H52" s="17" t="n">
        <v>32</v>
      </c>
      <c r="I52" s="17" t="n">
        <v>42</v>
      </c>
      <c r="J52" s="18" t="s">
        <v>84</v>
      </c>
      <c r="K52" s="12" t="s">
        <v>317</v>
      </c>
    </row>
    <row r="53" customFormat="false" ht="15" hidden="false" customHeight="false" outlineLevel="0" collapsed="false">
      <c r="A53" s="12" t="s">
        <v>314</v>
      </c>
      <c r="B53" s="10" t="s">
        <v>315</v>
      </c>
      <c r="C53" s="10" t="s">
        <v>316</v>
      </c>
      <c r="D53" s="12" t="s">
        <v>45</v>
      </c>
      <c r="E53" s="17" t="n">
        <v>4.4</v>
      </c>
      <c r="F53" s="17" t="n">
        <v>7</v>
      </c>
      <c r="G53" s="17" t="n">
        <v>20</v>
      </c>
      <c r="H53" s="17" t="n">
        <v>32</v>
      </c>
      <c r="I53" s="17" t="n">
        <v>42</v>
      </c>
      <c r="J53" s="18" t="s">
        <v>84</v>
      </c>
      <c r="K53" s="12" t="s">
        <v>317</v>
      </c>
    </row>
    <row r="54" customFormat="false" ht="15" hidden="false" customHeight="false" outlineLevel="0" collapsed="false">
      <c r="A54" s="12" t="s">
        <v>314</v>
      </c>
      <c r="B54" s="10" t="s">
        <v>315</v>
      </c>
      <c r="C54" s="10" t="s">
        <v>316</v>
      </c>
      <c r="D54" s="12" t="s">
        <v>46</v>
      </c>
      <c r="E54" s="17" t="n">
        <v>4.4</v>
      </c>
      <c r="F54" s="17" t="n">
        <v>7</v>
      </c>
      <c r="G54" s="17" t="n">
        <v>20</v>
      </c>
      <c r="H54" s="17" t="n">
        <v>32</v>
      </c>
      <c r="I54" s="17" t="n">
        <v>42</v>
      </c>
      <c r="J54" s="18" t="s">
        <v>84</v>
      </c>
      <c r="K54" s="12" t="s">
        <v>317</v>
      </c>
    </row>
    <row r="56" customFormat="false" ht="15" hidden="false" customHeight="false" outlineLevel="0" collapsed="false">
      <c r="A56" s="12" t="s">
        <v>318</v>
      </c>
      <c r="B56" s="12" t="s">
        <v>319</v>
      </c>
      <c r="C56" s="10" t="s">
        <v>178</v>
      </c>
      <c r="D56" s="12" t="s">
        <v>22</v>
      </c>
      <c r="E56" s="17" t="n">
        <v>12000</v>
      </c>
      <c r="F56" s="17" t="n">
        <v>4000</v>
      </c>
      <c r="G56" s="17" t="n">
        <v>30000</v>
      </c>
      <c r="H56" s="17" t="n">
        <v>35000</v>
      </c>
      <c r="I56" s="17" t="n">
        <v>40000</v>
      </c>
      <c r="J56" s="18" t="s">
        <v>84</v>
      </c>
      <c r="K56" s="12" t="s">
        <v>320</v>
      </c>
    </row>
    <row r="57" customFormat="false" ht="15" hidden="false" customHeight="false" outlineLevel="0" collapsed="false">
      <c r="A57" s="12" t="s">
        <v>318</v>
      </c>
      <c r="B57" s="12" t="s">
        <v>319</v>
      </c>
      <c r="C57" s="10" t="s">
        <v>178</v>
      </c>
      <c r="D57" s="12" t="s">
        <v>45</v>
      </c>
      <c r="E57" s="17" t="n">
        <v>12000</v>
      </c>
      <c r="F57" s="17" t="n">
        <v>4000</v>
      </c>
      <c r="G57" s="17" t="n">
        <v>30000</v>
      </c>
      <c r="H57" s="17" t="n">
        <v>35000</v>
      </c>
      <c r="I57" s="17" t="n">
        <v>40000</v>
      </c>
      <c r="J57" s="18" t="s">
        <v>84</v>
      </c>
      <c r="K57" s="12" t="s">
        <v>320</v>
      </c>
    </row>
    <row r="58" customFormat="false" ht="15" hidden="false" customHeight="false" outlineLevel="0" collapsed="false">
      <c r="A58" s="12" t="s">
        <v>318</v>
      </c>
      <c r="B58" s="12" t="s">
        <v>319</v>
      </c>
      <c r="C58" s="10" t="s">
        <v>178</v>
      </c>
      <c r="D58" s="12" t="s">
        <v>46</v>
      </c>
      <c r="E58" s="17" t="n">
        <v>12000</v>
      </c>
      <c r="F58" s="17" t="n">
        <v>4000</v>
      </c>
      <c r="G58" s="17" t="n">
        <v>30000</v>
      </c>
      <c r="H58" s="17" t="n">
        <v>35000</v>
      </c>
      <c r="I58" s="17" t="n">
        <v>40000</v>
      </c>
      <c r="J58" s="18" t="s">
        <v>84</v>
      </c>
      <c r="K58" s="12" t="s">
        <v>320</v>
      </c>
    </row>
    <row r="60" customFormat="false" ht="15" hidden="false" customHeight="false" outlineLevel="0" collapsed="false">
      <c r="A60" s="12" t="s">
        <v>321</v>
      </c>
      <c r="B60" s="12" t="s">
        <v>322</v>
      </c>
      <c r="C60" s="10" t="s">
        <v>178</v>
      </c>
      <c r="D60" s="12" t="s">
        <v>22</v>
      </c>
      <c r="E60" s="17" t="n">
        <v>2000</v>
      </c>
      <c r="F60" s="17" t="n">
        <v>3000</v>
      </c>
      <c r="G60" s="17" t="n">
        <v>10000</v>
      </c>
      <c r="H60" s="17" t="n">
        <v>15000</v>
      </c>
      <c r="I60" s="17" t="n">
        <v>20000</v>
      </c>
      <c r="J60" s="18" t="s">
        <v>84</v>
      </c>
      <c r="K60" s="12"/>
    </row>
    <row r="61" customFormat="false" ht="15" hidden="false" customHeight="false" outlineLevel="0" collapsed="false">
      <c r="A61" s="12" t="s">
        <v>321</v>
      </c>
      <c r="B61" s="12" t="s">
        <v>322</v>
      </c>
      <c r="C61" s="10" t="s">
        <v>178</v>
      </c>
      <c r="D61" s="12" t="s">
        <v>45</v>
      </c>
      <c r="E61" s="17" t="n">
        <v>2000</v>
      </c>
      <c r="F61" s="17" t="n">
        <v>3000</v>
      </c>
      <c r="G61" s="17" t="n">
        <v>10000</v>
      </c>
      <c r="H61" s="17" t="n">
        <v>15000</v>
      </c>
      <c r="I61" s="17" t="n">
        <v>20000</v>
      </c>
      <c r="J61" s="18" t="s">
        <v>84</v>
      </c>
      <c r="K61" s="12"/>
    </row>
    <row r="62" customFormat="false" ht="15" hidden="false" customHeight="false" outlineLevel="0" collapsed="false">
      <c r="A62" s="12" t="s">
        <v>321</v>
      </c>
      <c r="B62" s="12" t="s">
        <v>322</v>
      </c>
      <c r="C62" s="10" t="s">
        <v>178</v>
      </c>
      <c r="D62" s="12" t="s">
        <v>46</v>
      </c>
      <c r="E62" s="17" t="n">
        <v>2000</v>
      </c>
      <c r="F62" s="17" t="n">
        <v>3000</v>
      </c>
      <c r="G62" s="17" t="n">
        <v>10000</v>
      </c>
      <c r="H62" s="17" t="n">
        <v>15000</v>
      </c>
      <c r="I62" s="17" t="n">
        <v>20000</v>
      </c>
      <c r="J62" s="18" t="s">
        <v>84</v>
      </c>
      <c r="K62" s="12"/>
    </row>
    <row r="64" customFormat="false" ht="15" hidden="false" customHeight="false" outlineLevel="0" collapsed="false">
      <c r="A64" s="12" t="s">
        <v>323</v>
      </c>
      <c r="B64" s="12" t="s">
        <v>324</v>
      </c>
      <c r="C64" s="10" t="s">
        <v>178</v>
      </c>
      <c r="D64" s="12" t="s">
        <v>22</v>
      </c>
      <c r="E64" s="17" t="n">
        <v>6000</v>
      </c>
      <c r="F64" s="17" t="n">
        <v>4000</v>
      </c>
      <c r="G64" s="17" t="n">
        <v>10000</v>
      </c>
      <c r="H64" s="17" t="n">
        <v>12000</v>
      </c>
      <c r="I64" s="17" t="n">
        <v>15000</v>
      </c>
      <c r="J64" s="18" t="s">
        <v>84</v>
      </c>
      <c r="K64" s="12" t="s">
        <v>325</v>
      </c>
    </row>
    <row r="65" customFormat="false" ht="15" hidden="false" customHeight="false" outlineLevel="0" collapsed="false">
      <c r="A65" s="12" t="s">
        <v>323</v>
      </c>
      <c r="B65" s="12" t="s">
        <v>324</v>
      </c>
      <c r="C65" s="10" t="s">
        <v>178</v>
      </c>
      <c r="D65" s="12" t="s">
        <v>45</v>
      </c>
      <c r="E65" s="17" t="n">
        <v>6000</v>
      </c>
      <c r="F65" s="17" t="n">
        <v>4000</v>
      </c>
      <c r="G65" s="17" t="n">
        <v>10000</v>
      </c>
      <c r="H65" s="17" t="n">
        <v>12000</v>
      </c>
      <c r="I65" s="17" t="n">
        <v>15000</v>
      </c>
      <c r="J65" s="18" t="s">
        <v>84</v>
      </c>
      <c r="K65" s="12" t="s">
        <v>325</v>
      </c>
    </row>
    <row r="66" customFormat="false" ht="15" hidden="false" customHeight="false" outlineLevel="0" collapsed="false">
      <c r="A66" s="12" t="s">
        <v>323</v>
      </c>
      <c r="B66" s="12" t="s">
        <v>324</v>
      </c>
      <c r="C66" s="10" t="s">
        <v>178</v>
      </c>
      <c r="D66" s="12" t="s">
        <v>46</v>
      </c>
      <c r="E66" s="17" t="n">
        <v>6000</v>
      </c>
      <c r="F66" s="17" t="n">
        <v>4000</v>
      </c>
      <c r="G66" s="17" t="n">
        <v>10000</v>
      </c>
      <c r="H66" s="17" t="n">
        <v>12000</v>
      </c>
      <c r="I66" s="17" t="n">
        <v>15000</v>
      </c>
      <c r="J66" s="18" t="s">
        <v>84</v>
      </c>
      <c r="K66" s="12" t="s">
        <v>325</v>
      </c>
    </row>
    <row r="68" customFormat="false" ht="15" hidden="false" customHeight="false" outlineLevel="0" collapsed="false">
      <c r="A68" s="12" t="s">
        <v>326</v>
      </c>
      <c r="B68" s="12" t="s">
        <v>327</v>
      </c>
      <c r="C68" s="10" t="s">
        <v>178</v>
      </c>
      <c r="D68" s="12" t="s">
        <v>22</v>
      </c>
      <c r="E68" s="17" t="n">
        <v>2500</v>
      </c>
      <c r="F68" s="17" t="n">
        <v>6000</v>
      </c>
      <c r="G68" s="17" t="n">
        <v>20000</v>
      </c>
      <c r="H68" s="17" t="n">
        <v>10000</v>
      </c>
      <c r="I68" s="17" t="n">
        <v>10000</v>
      </c>
      <c r="J68" s="18" t="s">
        <v>84</v>
      </c>
      <c r="K68" s="12" t="s">
        <v>328</v>
      </c>
    </row>
    <row r="69" customFormat="false" ht="15" hidden="false" customHeight="false" outlineLevel="0" collapsed="false">
      <c r="A69" s="12" t="s">
        <v>326</v>
      </c>
      <c r="B69" s="12" t="s">
        <v>327</v>
      </c>
      <c r="C69" s="10" t="s">
        <v>178</v>
      </c>
      <c r="D69" s="12" t="s">
        <v>45</v>
      </c>
      <c r="E69" s="17" t="n">
        <v>2500</v>
      </c>
      <c r="F69" s="17" t="n">
        <v>6000</v>
      </c>
      <c r="G69" s="17" t="n">
        <v>20000</v>
      </c>
      <c r="H69" s="17" t="n">
        <v>10000</v>
      </c>
      <c r="I69" s="17" t="n">
        <v>10000</v>
      </c>
      <c r="J69" s="18" t="s">
        <v>84</v>
      </c>
      <c r="K69" s="12" t="s">
        <v>328</v>
      </c>
    </row>
    <row r="70" customFormat="false" ht="15" hidden="false" customHeight="false" outlineLevel="0" collapsed="false">
      <c r="A70" s="12" t="s">
        <v>326</v>
      </c>
      <c r="B70" s="12" t="s">
        <v>327</v>
      </c>
      <c r="C70" s="10" t="s">
        <v>178</v>
      </c>
      <c r="D70" s="12" t="s">
        <v>46</v>
      </c>
      <c r="E70" s="17" t="n">
        <v>2500</v>
      </c>
      <c r="F70" s="17" t="n">
        <v>6000</v>
      </c>
      <c r="G70" s="17" t="n">
        <v>20000</v>
      </c>
      <c r="H70" s="17" t="n">
        <v>10000</v>
      </c>
      <c r="I70" s="17" t="n">
        <v>10000</v>
      </c>
      <c r="J70" s="18" t="s">
        <v>84</v>
      </c>
      <c r="K70" s="12" t="s">
        <v>328</v>
      </c>
    </row>
    <row r="72" customFormat="false" ht="15" hidden="false" customHeight="false" outlineLevel="0" collapsed="false">
      <c r="A72" s="12" t="s">
        <v>329</v>
      </c>
      <c r="B72" s="12" t="s">
        <v>330</v>
      </c>
      <c r="C72" s="10" t="s">
        <v>178</v>
      </c>
      <c r="D72" s="12" t="s">
        <v>22</v>
      </c>
      <c r="E72" s="17" t="n">
        <v>2000</v>
      </c>
      <c r="F72" s="17" t="n">
        <v>3500</v>
      </c>
      <c r="G72" s="17" t="n">
        <v>5000</v>
      </c>
      <c r="H72" s="17" t="n">
        <v>5000</v>
      </c>
      <c r="I72" s="17" t="n">
        <v>5000</v>
      </c>
      <c r="J72" s="18" t="s">
        <v>84</v>
      </c>
      <c r="K72" s="12" t="s">
        <v>331</v>
      </c>
    </row>
    <row r="73" customFormat="false" ht="15" hidden="false" customHeight="false" outlineLevel="0" collapsed="false">
      <c r="A73" s="12" t="s">
        <v>329</v>
      </c>
      <c r="B73" s="12" t="s">
        <v>330</v>
      </c>
      <c r="C73" s="10" t="s">
        <v>178</v>
      </c>
      <c r="D73" s="12" t="s">
        <v>45</v>
      </c>
      <c r="E73" s="17" t="n">
        <v>2000</v>
      </c>
      <c r="F73" s="17" t="n">
        <v>3500</v>
      </c>
      <c r="G73" s="17" t="n">
        <v>5000</v>
      </c>
      <c r="H73" s="17" t="n">
        <v>5000</v>
      </c>
      <c r="I73" s="17" t="n">
        <v>5000</v>
      </c>
      <c r="J73" s="18" t="s">
        <v>84</v>
      </c>
      <c r="K73" s="12" t="s">
        <v>331</v>
      </c>
    </row>
    <row r="74" customFormat="false" ht="15" hidden="false" customHeight="false" outlineLevel="0" collapsed="false">
      <c r="A74" s="12" t="s">
        <v>329</v>
      </c>
      <c r="B74" s="12" t="s">
        <v>330</v>
      </c>
      <c r="C74" s="10" t="s">
        <v>178</v>
      </c>
      <c r="D74" s="12" t="s">
        <v>46</v>
      </c>
      <c r="E74" s="17" t="n">
        <v>2000</v>
      </c>
      <c r="F74" s="17" t="n">
        <v>3500</v>
      </c>
      <c r="G74" s="17" t="n">
        <v>5000</v>
      </c>
      <c r="H74" s="17" t="n">
        <v>5000</v>
      </c>
      <c r="I74" s="17" t="n">
        <v>5000</v>
      </c>
      <c r="J74" s="18" t="s">
        <v>84</v>
      </c>
      <c r="K74" s="12" t="s">
        <v>331</v>
      </c>
    </row>
    <row r="76" customFormat="false" ht="15" hidden="false" customHeight="false" outlineLevel="0" collapsed="false">
      <c r="A76" s="12" t="s">
        <v>332</v>
      </c>
      <c r="B76" s="12" t="s">
        <v>333</v>
      </c>
      <c r="C76" s="10" t="s">
        <v>178</v>
      </c>
      <c r="D76" s="12" t="s">
        <v>22</v>
      </c>
      <c r="E76" s="17" t="n">
        <v>0</v>
      </c>
      <c r="F76" s="17" t="n">
        <v>1000</v>
      </c>
      <c r="G76" s="17" t="n">
        <v>30000</v>
      </c>
      <c r="H76" s="17" t="n">
        <v>50000</v>
      </c>
      <c r="I76" s="17" t="n">
        <v>70000</v>
      </c>
      <c r="J76" s="18" t="s">
        <v>84</v>
      </c>
      <c r="K76" s="12"/>
    </row>
    <row r="77" customFormat="false" ht="15" hidden="false" customHeight="false" outlineLevel="0" collapsed="false">
      <c r="A77" s="12" t="s">
        <v>332</v>
      </c>
      <c r="B77" s="12" t="s">
        <v>333</v>
      </c>
      <c r="C77" s="10" t="s">
        <v>178</v>
      </c>
      <c r="D77" s="12" t="s">
        <v>45</v>
      </c>
      <c r="E77" s="17" t="n">
        <v>0</v>
      </c>
      <c r="F77" s="17" t="n">
        <v>1000</v>
      </c>
      <c r="G77" s="17" t="n">
        <v>30000</v>
      </c>
      <c r="H77" s="17" t="n">
        <v>50000</v>
      </c>
      <c r="I77" s="17" t="n">
        <v>70000</v>
      </c>
      <c r="J77" s="18" t="s">
        <v>84</v>
      </c>
      <c r="K77" s="12"/>
    </row>
    <row r="78" customFormat="false" ht="15" hidden="false" customHeight="false" outlineLevel="0" collapsed="false">
      <c r="A78" s="12" t="s">
        <v>332</v>
      </c>
      <c r="B78" s="12" t="s">
        <v>333</v>
      </c>
      <c r="C78" s="10" t="s">
        <v>178</v>
      </c>
      <c r="D78" s="12" t="s">
        <v>46</v>
      </c>
      <c r="E78" s="17" t="n">
        <v>0</v>
      </c>
      <c r="F78" s="17" t="n">
        <v>1000</v>
      </c>
      <c r="G78" s="17" t="n">
        <v>30000</v>
      </c>
      <c r="H78" s="17" t="n">
        <v>50000</v>
      </c>
      <c r="I78" s="17" t="n">
        <v>70000</v>
      </c>
      <c r="J78" s="18" t="s">
        <v>84</v>
      </c>
      <c r="K78" s="12"/>
    </row>
    <row r="80" customFormat="false" ht="15" hidden="false" customHeight="false" outlineLevel="0" collapsed="false">
      <c r="A80" s="12" t="s">
        <v>334</v>
      </c>
      <c r="B80" s="12" t="s">
        <v>335</v>
      </c>
      <c r="C80" s="10" t="s">
        <v>178</v>
      </c>
      <c r="D80" s="12" t="s">
        <v>22</v>
      </c>
      <c r="E80" s="17" t="n">
        <v>5000</v>
      </c>
      <c r="F80" s="17" t="n">
        <v>6000</v>
      </c>
      <c r="G80" s="17" t="n">
        <v>30000</v>
      </c>
      <c r="H80" s="17" t="n">
        <v>40000</v>
      </c>
      <c r="I80" s="17" t="n">
        <v>50000</v>
      </c>
      <c r="J80" s="18" t="s">
        <v>84</v>
      </c>
      <c r="K80" s="12"/>
    </row>
    <row r="81" customFormat="false" ht="15" hidden="false" customHeight="false" outlineLevel="0" collapsed="false">
      <c r="A81" s="12" t="s">
        <v>334</v>
      </c>
      <c r="B81" s="12" t="s">
        <v>335</v>
      </c>
      <c r="C81" s="10" t="s">
        <v>178</v>
      </c>
      <c r="D81" s="12" t="s">
        <v>45</v>
      </c>
      <c r="E81" s="17" t="n">
        <v>5000</v>
      </c>
      <c r="F81" s="17" t="n">
        <v>6000</v>
      </c>
      <c r="G81" s="17" t="n">
        <v>30000</v>
      </c>
      <c r="H81" s="17" t="n">
        <v>40000</v>
      </c>
      <c r="I81" s="17" t="n">
        <v>50000</v>
      </c>
      <c r="J81" s="18" t="s">
        <v>84</v>
      </c>
      <c r="K81" s="12"/>
    </row>
    <row r="82" customFormat="false" ht="15" hidden="false" customHeight="false" outlineLevel="0" collapsed="false">
      <c r="A82" s="12" t="s">
        <v>334</v>
      </c>
      <c r="B82" s="12" t="s">
        <v>335</v>
      </c>
      <c r="C82" s="10" t="s">
        <v>178</v>
      </c>
      <c r="D82" s="12" t="s">
        <v>46</v>
      </c>
      <c r="E82" s="17" t="n">
        <v>5000</v>
      </c>
      <c r="F82" s="17" t="n">
        <v>6000</v>
      </c>
      <c r="G82" s="17" t="n">
        <v>30000</v>
      </c>
      <c r="H82" s="17" t="n">
        <v>40000</v>
      </c>
      <c r="I82" s="17" t="n">
        <v>50000</v>
      </c>
      <c r="J82" s="18" t="s">
        <v>84</v>
      </c>
      <c r="K82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15"/>
  </cols>
  <sheetData>
    <row r="1" customFormat="false" ht="19.4" hidden="false" customHeight="false" outlineLevel="0" collapsed="false">
      <c r="A1" s="6" t="s">
        <v>336</v>
      </c>
    </row>
    <row r="2" customFormat="false" ht="15" hidden="false" customHeight="false" outlineLevel="0" collapsed="false">
      <c r="A2" s="10" t="s">
        <v>337</v>
      </c>
    </row>
    <row r="3" customFormat="false" ht="15" hidden="false" customHeight="false" outlineLevel="0" collapsed="false">
      <c r="A3" s="9" t="s">
        <v>49</v>
      </c>
      <c r="B3" s="9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28</v>
      </c>
      <c r="H3" s="8" t="s">
        <v>338</v>
      </c>
    </row>
    <row r="4" customFormat="false" ht="15" hidden="false" customHeight="false" outlineLevel="0" collapsed="false">
      <c r="A4" s="15" t="s">
        <v>240</v>
      </c>
      <c r="B4" s="16"/>
      <c r="C4" s="16"/>
      <c r="D4" s="16"/>
      <c r="E4" s="16"/>
      <c r="F4" s="16"/>
      <c r="G4" s="16"/>
      <c r="H4" s="16"/>
    </row>
    <row r="5" customFormat="false" ht="15" hidden="false" customHeight="false" outlineLevel="0" collapsed="false">
      <c r="A5" s="10" t="s">
        <v>297</v>
      </c>
      <c r="B5" s="10" t="s">
        <v>39</v>
      </c>
      <c r="C5" s="14" t="n">
        <f aca="false">Inputs_Yearly!$E$28</f>
        <v>0</v>
      </c>
      <c r="D5" s="14" t="n">
        <f aca="false">Inputs_Yearly!$F$28</f>
        <v>3</v>
      </c>
      <c r="E5" s="14" t="n">
        <f aca="false">Inputs_Yearly!$G$28</f>
        <v>20</v>
      </c>
      <c r="F5" s="14" t="n">
        <f aca="false">Inputs_Yearly!$H$28</f>
        <v>35</v>
      </c>
      <c r="G5" s="14" t="n">
        <f aca="false">Inputs_Yearly!$I$28</f>
        <v>40</v>
      </c>
      <c r="H5" s="24" t="n">
        <f aca="false">SUM(C5:G5)</f>
        <v>98</v>
      </c>
    </row>
    <row r="6" customFormat="false" ht="15" hidden="false" customHeight="false" outlineLevel="0" collapsed="false">
      <c r="A6" s="10" t="s">
        <v>300</v>
      </c>
      <c r="B6" s="10" t="s">
        <v>39</v>
      </c>
      <c r="C6" s="14" t="n">
        <f aca="false">Inputs_Yearly!$E$32</f>
        <v>0</v>
      </c>
      <c r="D6" s="14" t="n">
        <f aca="false">Inputs_Yearly!$F$32</f>
        <v>0</v>
      </c>
      <c r="E6" s="14" t="n">
        <f aca="false">Inputs_Yearly!$G$32</f>
        <v>10</v>
      </c>
      <c r="F6" s="14" t="n">
        <f aca="false">Inputs_Yearly!$H$32</f>
        <v>60</v>
      </c>
      <c r="G6" s="14" t="n">
        <f aca="false">Inputs_Yearly!$I$32</f>
        <v>150</v>
      </c>
      <c r="H6" s="24" t="n">
        <f aca="false">SUM(C6:G6)</f>
        <v>220</v>
      </c>
    </row>
    <row r="7" customFormat="false" ht="15" hidden="false" customHeight="false" outlineLevel="0" collapsed="false">
      <c r="A7" s="10" t="s">
        <v>339</v>
      </c>
      <c r="B7" s="10" t="s">
        <v>39</v>
      </c>
      <c r="C7" s="24" t="n">
        <f aca="false">0</f>
        <v>0</v>
      </c>
      <c r="D7" s="24" t="n">
        <f aca="false">0</f>
        <v>0</v>
      </c>
      <c r="E7" s="14" t="n">
        <f aca="false">Inputs_Yearly!$E$48*Inputs!$D$73*Inputs!$D$74</f>
        <v>0</v>
      </c>
      <c r="F7" s="14" t="n">
        <f aca="false">Inputs_Yearly!$F$48*Inputs!$D$73*Inputs!$D$74</f>
        <v>0</v>
      </c>
      <c r="G7" s="14" t="n">
        <f aca="false">Inputs_Yearly!$G$48*Inputs!$D$73*Inputs!$D$74</f>
        <v>0</v>
      </c>
      <c r="H7" s="24" t="n">
        <f aca="false">SUM(C7:G7)</f>
        <v>0</v>
      </c>
    </row>
    <row r="8" customFormat="false" ht="15" hidden="false" customHeight="false" outlineLevel="0" collapsed="false">
      <c r="A8" s="18" t="s">
        <v>340</v>
      </c>
      <c r="B8" s="10" t="s">
        <v>39</v>
      </c>
      <c r="C8" s="24" t="n">
        <f aca="false">C5+C6+C7</f>
        <v>0</v>
      </c>
      <c r="D8" s="24" t="n">
        <f aca="false">D5+D6+D7</f>
        <v>3</v>
      </c>
      <c r="E8" s="24" t="n">
        <f aca="false">E5+E6+E7</f>
        <v>30</v>
      </c>
      <c r="F8" s="24" t="n">
        <f aca="false">F5+F6+F7</f>
        <v>95</v>
      </c>
      <c r="G8" s="24" t="n">
        <f aca="false">G5+G6+G7</f>
        <v>190</v>
      </c>
      <c r="H8" s="24" t="n">
        <f aca="false">SUM(C8:G8)</f>
        <v>318</v>
      </c>
    </row>
    <row r="9" customFormat="false" ht="15" hidden="false" customHeight="false" outlineLevel="0" collapsed="false">
      <c r="A9" s="12" t="s">
        <v>341</v>
      </c>
      <c r="B9" s="12" t="s">
        <v>33</v>
      </c>
      <c r="C9" s="13" t="n">
        <f aca="false">Inputs_Yearly!$E$36</f>
        <v>1</v>
      </c>
      <c r="D9" s="13" t="n">
        <f aca="false">Inputs_Yearly!$F$36</f>
        <v>1</v>
      </c>
      <c r="E9" s="13" t="n">
        <f aca="false">Inputs_Yearly!$G$36</f>
        <v>0.75</v>
      </c>
      <c r="F9" s="13" t="n">
        <f aca="false">Inputs_Yearly!$H$36</f>
        <v>0.75</v>
      </c>
      <c r="G9" s="13" t="n">
        <f aca="false">Inputs_Yearly!$I$36</f>
        <v>0.75</v>
      </c>
    </row>
    <row r="10" customFormat="false" ht="15" hidden="false" customHeight="false" outlineLevel="0" collapsed="false">
      <c r="A10" s="12" t="s">
        <v>342</v>
      </c>
      <c r="B10" s="10" t="s">
        <v>41</v>
      </c>
      <c r="C10" s="24" t="n">
        <f aca="false">0*Inputs!$D$72</f>
        <v>0</v>
      </c>
      <c r="D10" s="24" t="n">
        <f aca="false">C20*Inputs!$D$72</f>
        <v>0</v>
      </c>
      <c r="E10" s="24" t="n">
        <f aca="false">D20*Inputs!$D$72</f>
        <v>0</v>
      </c>
      <c r="F10" s="24" t="n">
        <f aca="false">E20*Inputs!$D$72</f>
        <v>0.375</v>
      </c>
      <c r="G10" s="24" t="n">
        <f aca="false">F20*Inputs!$D$72</f>
        <v>1.54375</v>
      </c>
      <c r="H10" s="24" t="n">
        <f aca="false">SUM(C10:G10)</f>
        <v>1.91875</v>
      </c>
    </row>
    <row r="11" customFormat="false" ht="15" hidden="false" customHeight="false" outlineLevel="0" collapsed="false">
      <c r="A11" s="12" t="s">
        <v>343</v>
      </c>
      <c r="B11" s="10" t="s">
        <v>41</v>
      </c>
      <c r="C11" s="24" t="n">
        <f aca="false">(C5+C6)*C9</f>
        <v>0</v>
      </c>
      <c r="D11" s="24" t="n">
        <f aca="false">(D5+D6)*D9</f>
        <v>3</v>
      </c>
      <c r="E11" s="24" t="n">
        <f aca="false">(E5+E6)*E9</f>
        <v>22.5</v>
      </c>
      <c r="F11" s="24" t="n">
        <f aca="false">(F5+F6)*F9</f>
        <v>71.25</v>
      </c>
      <c r="G11" s="24" t="n">
        <f aca="false">(G5+G6)*G9</f>
        <v>142.5</v>
      </c>
      <c r="H11" s="24" t="n">
        <f aca="false">SUM(C11:G11)</f>
        <v>239.25</v>
      </c>
    </row>
    <row r="12" customFormat="false" ht="15" hidden="false" customHeight="false" outlineLevel="0" collapsed="false">
      <c r="A12" s="12" t="s">
        <v>344</v>
      </c>
      <c r="B12" s="10" t="s">
        <v>41</v>
      </c>
      <c r="C12" s="24" t="n">
        <f aca="false">C7*Inputs!$D$75</f>
        <v>0</v>
      </c>
      <c r="D12" s="24" t="n">
        <f aca="false">D7*Inputs!$D$75</f>
        <v>0</v>
      </c>
      <c r="E12" s="24" t="n">
        <f aca="false">E7*Inputs!$D$75</f>
        <v>0</v>
      </c>
      <c r="F12" s="24" t="n">
        <f aca="false">F7*Inputs!$D$75</f>
        <v>0</v>
      </c>
      <c r="G12" s="24" t="n">
        <f aca="false">G7*Inputs!$D$75</f>
        <v>0</v>
      </c>
      <c r="H12" s="24" t="n">
        <f aca="false">SUM(C12:G12)</f>
        <v>0</v>
      </c>
    </row>
    <row r="13" customFormat="false" ht="15" hidden="false" customHeight="false" outlineLevel="0" collapsed="false">
      <c r="A13" s="18" t="s">
        <v>345</v>
      </c>
      <c r="B13" s="10" t="s">
        <v>41</v>
      </c>
      <c r="C13" s="24" t="n">
        <f aca="false">C11+C12+C10</f>
        <v>0</v>
      </c>
      <c r="D13" s="24" t="n">
        <f aca="false">D11+D12+D10</f>
        <v>3</v>
      </c>
      <c r="E13" s="24" t="n">
        <f aca="false">E11+E12+E10</f>
        <v>22.5</v>
      </c>
      <c r="F13" s="24" t="n">
        <f aca="false">F11+F12+F10</f>
        <v>71.625</v>
      </c>
      <c r="G13" s="24" t="n">
        <f aca="false">G11+G12+G10</f>
        <v>144.04375</v>
      </c>
      <c r="H13" s="24" t="n">
        <f aca="false">SUM(C13:G13)</f>
        <v>241.16875</v>
      </c>
    </row>
    <row r="14" customFormat="false" ht="15" hidden="false" customHeight="false" outlineLevel="0" collapsed="false">
      <c r="A14" s="12" t="s">
        <v>346</v>
      </c>
      <c r="B14" s="12" t="s">
        <v>33</v>
      </c>
      <c r="C14" s="13" t="n">
        <f aca="false">Inputs_Yearly!$E$40</f>
        <v>0</v>
      </c>
      <c r="D14" s="13" t="n">
        <f aca="false">Inputs_Yearly!$F$40</f>
        <v>0.3</v>
      </c>
      <c r="E14" s="13" t="n">
        <f aca="false">Inputs_Yearly!$G$40</f>
        <v>0.3</v>
      </c>
      <c r="F14" s="13" t="n">
        <f aca="false">Inputs_Yearly!$H$40</f>
        <v>0.35</v>
      </c>
      <c r="G14" s="13" t="n">
        <f aca="false">Inputs_Yearly!$I$40</f>
        <v>0.35</v>
      </c>
    </row>
    <row r="15" customFormat="false" ht="15" hidden="false" customHeight="false" outlineLevel="0" collapsed="false">
      <c r="A15" s="12" t="s">
        <v>347</v>
      </c>
      <c r="B15" s="12" t="s">
        <v>309</v>
      </c>
      <c r="C15" s="14" t="n">
        <f aca="false">Inputs_Yearly!$E$44</f>
        <v>0</v>
      </c>
      <c r="D15" s="14" t="n">
        <f aca="false">Inputs_Yearly!$F$44</f>
        <v>0</v>
      </c>
      <c r="E15" s="14" t="n">
        <f aca="false">Inputs_Yearly!$G$44</f>
        <v>0</v>
      </c>
      <c r="F15" s="14" t="n">
        <f aca="false">Inputs_Yearly!$H$44</f>
        <v>1</v>
      </c>
      <c r="G15" s="14" t="n">
        <f aca="false">Inputs_Yearly!$I$44</f>
        <v>1</v>
      </c>
    </row>
    <row r="16" customFormat="false" ht="15" hidden="false" customHeight="false" outlineLevel="0" collapsed="false">
      <c r="A16" s="12" t="s">
        <v>348</v>
      </c>
      <c r="B16" s="10" t="s">
        <v>41</v>
      </c>
      <c r="C16" s="24" t="n">
        <f aca="false">C13*C14</f>
        <v>0</v>
      </c>
      <c r="D16" s="24" t="n">
        <f aca="false">D13*D14</f>
        <v>0.9</v>
      </c>
      <c r="E16" s="24" t="n">
        <f aca="false">E13*E14</f>
        <v>6.75</v>
      </c>
      <c r="F16" s="24" t="n">
        <f aca="false">F13*F14</f>
        <v>25.06875</v>
      </c>
      <c r="G16" s="24" t="n">
        <f aca="false">G13*G14</f>
        <v>50.4153125</v>
      </c>
      <c r="H16" s="24" t="n">
        <f aca="false">SUM(C16:G16)</f>
        <v>83.1340625</v>
      </c>
    </row>
    <row r="17" customFormat="false" ht="15" hidden="false" customHeight="false" outlineLevel="0" collapsed="false">
      <c r="A17" s="10" t="s">
        <v>349</v>
      </c>
      <c r="B17" s="10" t="s">
        <v>41</v>
      </c>
      <c r="C17" s="24" t="n">
        <f aca="false">C13-C16</f>
        <v>0</v>
      </c>
      <c r="D17" s="24" t="n">
        <f aca="false">D13-D16</f>
        <v>2.1</v>
      </c>
      <c r="E17" s="24" t="n">
        <f aca="false">E13-E16</f>
        <v>15.75</v>
      </c>
      <c r="F17" s="24" t="n">
        <f aca="false">F13-F16</f>
        <v>46.55625</v>
      </c>
      <c r="G17" s="24" t="n">
        <f aca="false">G13-G16</f>
        <v>93.6284375</v>
      </c>
      <c r="H17" s="24" t="n">
        <f aca="false">SUM(C17:G17)</f>
        <v>158.0346875</v>
      </c>
    </row>
    <row r="18" customFormat="false" ht="15" hidden="false" customHeight="false" outlineLevel="0" collapsed="false">
      <c r="A18" s="12" t="s">
        <v>350</v>
      </c>
      <c r="B18" s="10" t="s">
        <v>41</v>
      </c>
      <c r="C18" s="24" t="n">
        <f aca="false">C16*(1-C15)</f>
        <v>0</v>
      </c>
      <c r="D18" s="24" t="n">
        <f aca="false">D16*(1-D15)</f>
        <v>0.9</v>
      </c>
      <c r="E18" s="24" t="n">
        <f aca="false">E16*(1-E15)</f>
        <v>6.75</v>
      </c>
      <c r="F18" s="24" t="n">
        <f aca="false">F16*(1-F15)</f>
        <v>0</v>
      </c>
      <c r="G18" s="24" t="n">
        <f aca="false">G16*(1-G15)</f>
        <v>0</v>
      </c>
      <c r="H18" s="24" t="n">
        <f aca="false">SUM(C18:G18)</f>
        <v>7.65</v>
      </c>
    </row>
    <row r="19" customFormat="false" ht="15" hidden="false" customHeight="false" outlineLevel="0" collapsed="false">
      <c r="A19" s="12" t="s">
        <v>351</v>
      </c>
      <c r="B19" s="10" t="s">
        <v>41</v>
      </c>
      <c r="C19" s="24" t="n">
        <f aca="false">C16*C15</f>
        <v>0</v>
      </c>
      <c r="D19" s="24" t="n">
        <f aca="false">D16*D15</f>
        <v>0</v>
      </c>
      <c r="E19" s="24" t="n">
        <f aca="false">E16*E15</f>
        <v>0</v>
      </c>
      <c r="F19" s="24" t="n">
        <f aca="false">F16*F15</f>
        <v>25.06875</v>
      </c>
      <c r="G19" s="24" t="n">
        <f aca="false">G16*G15</f>
        <v>50.4153125</v>
      </c>
      <c r="H19" s="24" t="n">
        <f aca="false">SUM(C19:G19)</f>
        <v>75.4840625</v>
      </c>
    </row>
    <row r="20" customFormat="false" ht="15" hidden="false" customHeight="false" outlineLevel="0" collapsed="false">
      <c r="A20" s="12" t="s">
        <v>352</v>
      </c>
      <c r="B20" s="10" t="s">
        <v>39</v>
      </c>
      <c r="C20" s="24" t="n">
        <f aca="false">0+(C5+C6)*(1-C9)+C7*(1-Inputs!$D$75)-C10</f>
        <v>0</v>
      </c>
      <c r="D20" s="24" t="n">
        <f aca="false">C20+(D5+D6)*(1-D9)+D7*(1-Inputs!$D$75)-D10</f>
        <v>0</v>
      </c>
      <c r="E20" s="24" t="n">
        <f aca="false">D20+(E5+E6)*(1-E9)+E7*(1-Inputs!$D$75)-E10</f>
        <v>7.5</v>
      </c>
      <c r="F20" s="24" t="n">
        <f aca="false">E20+(F5+F6)*(1-F9)+F7*(1-Inputs!$D$75)-F10</f>
        <v>30.875</v>
      </c>
      <c r="G20" s="24" t="n">
        <f aca="false">F20+(G5+G6)*(1-G9)+G7*(1-Inputs!$D$75)-G10</f>
        <v>76.83125</v>
      </c>
    </row>
    <row r="21" customFormat="false" ht="15" hidden="false" customHeight="false" outlineLevel="0" collapsed="false">
      <c r="A21" s="10" t="s">
        <v>353</v>
      </c>
      <c r="B21" s="10" t="s">
        <v>41</v>
      </c>
      <c r="C21" s="24" t="n">
        <f aca="false">0+C17</f>
        <v>0</v>
      </c>
      <c r="D21" s="24" t="n">
        <f aca="false">C21+D17</f>
        <v>2.1</v>
      </c>
      <c r="E21" s="24" t="n">
        <f aca="false">D21+E17</f>
        <v>17.85</v>
      </c>
      <c r="F21" s="24" t="n">
        <f aca="false">E21+F17</f>
        <v>64.40625</v>
      </c>
      <c r="G21" s="24" t="n">
        <f aca="false">F21+G17</f>
        <v>158.0346875</v>
      </c>
    </row>
    <row r="22" customFormat="false" ht="15" hidden="false" customHeight="false" outlineLevel="0" collapsed="false">
      <c r="A22" s="10" t="s">
        <v>354</v>
      </c>
      <c r="B22" s="10" t="s">
        <v>41</v>
      </c>
      <c r="C22" s="24" t="n">
        <f aca="false">0+C17/2</f>
        <v>0</v>
      </c>
      <c r="D22" s="24" t="n">
        <f aca="false">C21+D17/2</f>
        <v>1.05</v>
      </c>
      <c r="E22" s="24" t="n">
        <f aca="false">D21+E17/2</f>
        <v>9.975</v>
      </c>
      <c r="F22" s="24" t="n">
        <f aca="false">E21+F17/2</f>
        <v>41.128125</v>
      </c>
      <c r="G22" s="24" t="n">
        <f aca="false">F21+G17/2</f>
        <v>111.22046875</v>
      </c>
    </row>
    <row r="23" customFormat="false" ht="15" hidden="false" customHeight="false" outlineLevel="0" collapsed="false">
      <c r="A23" s="12" t="s">
        <v>355</v>
      </c>
      <c r="B23" s="10" t="s">
        <v>41</v>
      </c>
      <c r="C23" s="24" t="n">
        <f aca="false">0+C18</f>
        <v>0</v>
      </c>
      <c r="D23" s="24" t="n">
        <f aca="false">C23+D18</f>
        <v>0.9</v>
      </c>
      <c r="E23" s="24" t="n">
        <f aca="false">D23+E18</f>
        <v>7.65</v>
      </c>
      <c r="F23" s="24" t="n">
        <f aca="false">E23+F18</f>
        <v>7.65</v>
      </c>
      <c r="G23" s="24" t="n">
        <f aca="false">F23+G18</f>
        <v>7.65</v>
      </c>
    </row>
    <row r="24" customFormat="false" ht="15" hidden="false" customHeight="false" outlineLevel="0" collapsed="false">
      <c r="A24" s="12" t="s">
        <v>356</v>
      </c>
      <c r="B24" s="10" t="s">
        <v>41</v>
      </c>
      <c r="C24" s="24" t="n">
        <f aca="false">0+C18/2</f>
        <v>0</v>
      </c>
      <c r="D24" s="24" t="n">
        <f aca="false">C23+D18/2</f>
        <v>0.45</v>
      </c>
      <c r="E24" s="24" t="n">
        <f aca="false">D23+E18/2</f>
        <v>4.275</v>
      </c>
      <c r="F24" s="24" t="n">
        <f aca="false">E23+F18/2</f>
        <v>7.65</v>
      </c>
      <c r="G24" s="24" t="n">
        <f aca="false">F23+G18/2</f>
        <v>7.65</v>
      </c>
    </row>
    <row r="25" customFormat="false" ht="15" hidden="false" customHeight="false" outlineLevel="0" collapsed="false">
      <c r="A25" s="12" t="s">
        <v>357</v>
      </c>
      <c r="B25" s="10" t="s">
        <v>41</v>
      </c>
      <c r="C25" s="24" t="n">
        <f aca="false">0+C19</f>
        <v>0</v>
      </c>
      <c r="D25" s="24" t="n">
        <f aca="false">C25+D19</f>
        <v>0</v>
      </c>
      <c r="E25" s="24" t="n">
        <f aca="false">D25+E19</f>
        <v>0</v>
      </c>
      <c r="F25" s="24" t="n">
        <f aca="false">E25+F19</f>
        <v>25.06875</v>
      </c>
      <c r="G25" s="24" t="n">
        <f aca="false">F25+G19</f>
        <v>75.4840625</v>
      </c>
    </row>
    <row r="26" customFormat="false" ht="15" hidden="false" customHeight="false" outlineLevel="0" collapsed="false">
      <c r="A26" s="12" t="s">
        <v>358</v>
      </c>
      <c r="B26" s="10" t="s">
        <v>41</v>
      </c>
      <c r="C26" s="24" t="n">
        <f aca="false">0+C19/2</f>
        <v>0</v>
      </c>
      <c r="D26" s="24" t="n">
        <f aca="false">C25+D19/2</f>
        <v>0</v>
      </c>
      <c r="E26" s="24" t="n">
        <f aca="false">D25+E19/2</f>
        <v>0</v>
      </c>
      <c r="F26" s="24" t="n">
        <f aca="false">E25+F19/2</f>
        <v>12.534375</v>
      </c>
      <c r="G26" s="24" t="n">
        <f aca="false">F25+G19/2</f>
        <v>50.27640625</v>
      </c>
    </row>
    <row r="27" customFormat="false" ht="15" hidden="false" customHeight="false" outlineLevel="0" collapsed="false">
      <c r="A27" s="12" t="s">
        <v>42</v>
      </c>
      <c r="B27" s="10" t="s">
        <v>41</v>
      </c>
      <c r="C27" s="24" t="n">
        <f aca="false">C21+C23+C25</f>
        <v>0</v>
      </c>
      <c r="D27" s="24" t="n">
        <f aca="false">D21+D23+D25</f>
        <v>3</v>
      </c>
      <c r="E27" s="24" t="n">
        <f aca="false">E21+E23+E25</f>
        <v>25.5</v>
      </c>
      <c r="F27" s="24" t="n">
        <f aca="false">F21+F23+F25</f>
        <v>97.125</v>
      </c>
      <c r="G27" s="24" t="n">
        <f aca="false">G21+G23+G25</f>
        <v>241.16875</v>
      </c>
    </row>
    <row r="28" customFormat="false" ht="15" hidden="false" customHeight="false" outlineLevel="0" collapsed="false">
      <c r="A28" s="10" t="s">
        <v>359</v>
      </c>
      <c r="B28" s="10" t="s">
        <v>39</v>
      </c>
      <c r="C28" s="14" t="n">
        <f aca="false">Inputs_Yearly!$E$48*Inputs!$D$73*Inputs!$D$74</f>
        <v>0</v>
      </c>
      <c r="D28" s="24" t="n">
        <f aca="false">(Inputs_Yearly!$F$48+Inputs_Yearly!$E$48)*Inputs!$D$73*Inputs!$D$74</f>
        <v>0</v>
      </c>
      <c r="E28" s="24" t="n">
        <f aca="false">(Inputs_Yearly!$G$48+Inputs_Yearly!$F$48)*Inputs!$D$73*Inputs!$D$74</f>
        <v>0</v>
      </c>
      <c r="F28" s="24" t="n">
        <f aca="false">(Inputs_Yearly!$H$48+Inputs_Yearly!$G$48)*Inputs!$D$73*Inputs!$D$74</f>
        <v>48</v>
      </c>
      <c r="G28" s="24" t="n">
        <f aca="false">(Inputs_Yearly!$I$48+Inputs_Yearly!$H$48)*Inputs!$D$73*Inputs!$D$74</f>
        <v>144</v>
      </c>
    </row>
    <row r="29" customFormat="false" ht="15" hidden="false" customHeight="false" outlineLevel="0" collapsed="false">
      <c r="A29" s="15" t="s">
        <v>360</v>
      </c>
      <c r="B29" s="16"/>
      <c r="C29" s="16"/>
      <c r="D29" s="16"/>
      <c r="E29" s="16"/>
      <c r="F29" s="16"/>
      <c r="G29" s="16"/>
      <c r="H29" s="16"/>
    </row>
    <row r="30" customFormat="false" ht="15" hidden="false" customHeight="false" outlineLevel="0" collapsed="false">
      <c r="A30" s="10" t="s">
        <v>361</v>
      </c>
      <c r="B30" s="12" t="s">
        <v>33</v>
      </c>
      <c r="C30" s="13" t="n">
        <f aca="false">Inputs_Yearly!$E$4</f>
        <v>1</v>
      </c>
      <c r="D30" s="13" t="n">
        <f aca="false">Inputs_Yearly!$F$4</f>
        <v>0.3</v>
      </c>
      <c r="E30" s="13" t="n">
        <f aca="false">Inputs_Yearly!$G$4</f>
        <v>1</v>
      </c>
      <c r="F30" s="13" t="n">
        <f aca="false">Inputs_Yearly!$H$4</f>
        <v>1</v>
      </c>
      <c r="G30" s="13" t="n">
        <f aca="false">Inputs_Yearly!$I$4</f>
        <v>1</v>
      </c>
    </row>
    <row r="31" customFormat="false" ht="15" hidden="false" customHeight="false" outlineLevel="0" collapsed="false">
      <c r="A31" s="12" t="s">
        <v>362</v>
      </c>
      <c r="B31" s="10" t="s">
        <v>138</v>
      </c>
      <c r="C31" s="14" t="n">
        <f aca="false">Inputs!$D$38*Inputs!$D$39+Inputs!$D$40*Inputs!$D$41+Inputs!$D$42*Inputs!$D$43</f>
        <v>36</v>
      </c>
      <c r="D31" s="14" t="n">
        <f aca="false">Inputs!$D$38*Inputs!$D$39+Inputs!$D$40*Inputs!$D$41+Inputs!$D$42*Inputs!$D$43</f>
        <v>36</v>
      </c>
      <c r="E31" s="14" t="n">
        <f aca="false">Inputs!$D$38*Inputs!$D$39+Inputs!$D$40*Inputs!$D$41+Inputs!$D$42*Inputs!$D$43</f>
        <v>36</v>
      </c>
      <c r="F31" s="14" t="n">
        <f aca="false">Inputs!$D$38*Inputs!$D$39+Inputs!$D$40*Inputs!$D$41+Inputs!$D$42*Inputs!$D$43</f>
        <v>36</v>
      </c>
      <c r="G31" s="14" t="n">
        <f aca="false">Inputs!$D$38*Inputs!$D$39+Inputs!$D$40*Inputs!$D$41+Inputs!$D$42*Inputs!$D$43</f>
        <v>36</v>
      </c>
    </row>
    <row r="32" customFormat="false" ht="15" hidden="false" customHeight="false" outlineLevel="0" collapsed="false">
      <c r="A32" s="12" t="s">
        <v>363</v>
      </c>
      <c r="B32" s="10" t="s">
        <v>138</v>
      </c>
      <c r="C32" s="14" t="n">
        <f aca="false">Inputs!$D$40*Inputs!$D$41+Inputs!$D$42*Inputs!$D$43</f>
        <v>18</v>
      </c>
      <c r="D32" s="14" t="n">
        <f aca="false">Inputs!$D$40*Inputs!$D$41+Inputs!$D$42*Inputs!$D$43</f>
        <v>18</v>
      </c>
      <c r="E32" s="14" t="n">
        <f aca="false">Inputs!$D$40*Inputs!$D$41+Inputs!$D$42*Inputs!$D$43</f>
        <v>18</v>
      </c>
      <c r="F32" s="14" t="n">
        <f aca="false">Inputs!$D$40*Inputs!$D$41+Inputs!$D$42*Inputs!$D$43</f>
        <v>18</v>
      </c>
      <c r="G32" s="14" t="n">
        <f aca="false">Inputs!$D$40*Inputs!$D$41+Inputs!$D$42*Inputs!$D$43</f>
        <v>18</v>
      </c>
    </row>
    <row r="33" customFormat="false" ht="15" hidden="false" customHeight="false" outlineLevel="0" collapsed="false">
      <c r="A33" s="12" t="s">
        <v>364</v>
      </c>
      <c r="B33" s="10" t="s">
        <v>138</v>
      </c>
      <c r="C33" s="14" t="n">
        <f aca="false">Inputs!$D$38*Inputs!$D$39</f>
        <v>18</v>
      </c>
      <c r="D33" s="14" t="n">
        <f aca="false">Inputs!$D$38*Inputs!$D$39</f>
        <v>18</v>
      </c>
      <c r="E33" s="14" t="n">
        <f aca="false">Inputs!$D$38*Inputs!$D$39</f>
        <v>18</v>
      </c>
      <c r="F33" s="14" t="n">
        <f aca="false">Inputs!$D$38*Inputs!$D$39</f>
        <v>18</v>
      </c>
      <c r="G33" s="14" t="n">
        <f aca="false">Inputs!$D$38*Inputs!$D$39</f>
        <v>18</v>
      </c>
    </row>
    <row r="34" customFormat="false" ht="15" hidden="false" customHeight="false" outlineLevel="0" collapsed="false">
      <c r="A34" s="12" t="s">
        <v>365</v>
      </c>
      <c r="B34" s="10" t="s">
        <v>178</v>
      </c>
      <c r="C34" s="24" t="n">
        <f aca="false">(C5+C6)*Inputs!$D$30*C30+C7*Inputs!$D$31</f>
        <v>0</v>
      </c>
      <c r="D34" s="24" t="n">
        <f aca="false">(D5+D6)*Inputs!$D$30*D30+D7*Inputs!$D$31</f>
        <v>360</v>
      </c>
      <c r="E34" s="24" t="n">
        <f aca="false">(E5+E6)*Inputs!$D$30*E30+E7*Inputs!$D$31</f>
        <v>12000</v>
      </c>
      <c r="F34" s="24" t="n">
        <f aca="false">(F5+F6)*Inputs!$D$30*F30+F7*Inputs!$D$31</f>
        <v>38000</v>
      </c>
      <c r="G34" s="24" t="n">
        <f aca="false">(G5+G6)*Inputs!$D$30*G30+G7*Inputs!$D$31</f>
        <v>76000</v>
      </c>
      <c r="H34" s="24" t="n">
        <f aca="false">SUM(C34:G34)</f>
        <v>126360</v>
      </c>
    </row>
    <row r="35" customFormat="false" ht="15" hidden="false" customHeight="false" outlineLevel="0" collapsed="false">
      <c r="A35" s="12" t="s">
        <v>366</v>
      </c>
      <c r="B35" s="10" t="s">
        <v>178</v>
      </c>
      <c r="C35" s="24" t="n">
        <f aca="false">C13*Inputs!$D$33*C30</f>
        <v>0</v>
      </c>
      <c r="D35" s="24" t="n">
        <f aca="false">D13*Inputs!$D$33*D30</f>
        <v>72</v>
      </c>
      <c r="E35" s="24" t="n">
        <f aca="false">E13*Inputs!$D$33*E30</f>
        <v>1800</v>
      </c>
      <c r="F35" s="24" t="n">
        <f aca="false">F13*Inputs!$D$33*F30</f>
        <v>5730</v>
      </c>
      <c r="G35" s="24" t="n">
        <f aca="false">G13*Inputs!$D$33*G30</f>
        <v>11523.5</v>
      </c>
      <c r="H35" s="24" t="n">
        <f aca="false">SUM(C35:G35)</f>
        <v>19125.5</v>
      </c>
    </row>
    <row r="36" customFormat="false" ht="15" hidden="false" customHeight="false" outlineLevel="0" collapsed="false">
      <c r="A36" s="12" t="s">
        <v>367</v>
      </c>
      <c r="B36" s="10" t="s">
        <v>178</v>
      </c>
      <c r="C36" s="24" t="n">
        <f aca="false">C17*Inputs!$D$32*C30+C19*Inputs!$D$32*Inputs!$D$50</f>
        <v>0</v>
      </c>
      <c r="D36" s="24" t="n">
        <f aca="false">D17*Inputs!$D$32*D30+D19*Inputs!$D$32*Inputs!$D$50</f>
        <v>812.7</v>
      </c>
      <c r="E36" s="24" t="n">
        <f aca="false">E17*Inputs!$D$32*E30+E19*Inputs!$D$32*Inputs!$D$50</f>
        <v>20317.5</v>
      </c>
      <c r="F36" s="24" t="n">
        <f aca="false">F17*Inputs!$D$32*F30+F19*Inputs!$D$32*Inputs!$D$50</f>
        <v>88515.6075</v>
      </c>
      <c r="G36" s="24" t="n">
        <f aca="false">G17*Inputs!$D$32*G30+G19*Inputs!$D$32*Inputs!$D$50</f>
        <v>178012.147125</v>
      </c>
      <c r="H36" s="24" t="n">
        <f aca="false">SUM(C36:G36)</f>
        <v>287657.954625</v>
      </c>
    </row>
    <row r="37" customFormat="false" ht="15" hidden="false" customHeight="false" outlineLevel="0" collapsed="false">
      <c r="A37" s="12" t="s">
        <v>368</v>
      </c>
      <c r="B37" s="10" t="s">
        <v>178</v>
      </c>
      <c r="C37" s="24" t="n">
        <f aca="false">C24*Inputs!$D$34*12</f>
        <v>0</v>
      </c>
      <c r="D37" s="24" t="n">
        <f aca="false">D24*Inputs!$D$34*12</f>
        <v>156.6</v>
      </c>
      <c r="E37" s="24" t="n">
        <f aca="false">E24*Inputs!$D$34*12</f>
        <v>1487.7</v>
      </c>
      <c r="F37" s="24" t="n">
        <f aca="false">F24*Inputs!$D$34*12</f>
        <v>2662.2</v>
      </c>
      <c r="G37" s="24" t="n">
        <f aca="false">G24*Inputs!$D$34*12</f>
        <v>2662.2</v>
      </c>
      <c r="H37" s="24" t="n">
        <f aca="false">SUM(C37:G37)</f>
        <v>6968.7</v>
      </c>
    </row>
    <row r="38" customFormat="false" ht="15" hidden="false" customHeight="false" outlineLevel="0" collapsed="false">
      <c r="A38" s="12" t="s">
        <v>369</v>
      </c>
      <c r="B38" s="10" t="s">
        <v>178</v>
      </c>
      <c r="C38" s="24" t="n">
        <f aca="false">C22*Inputs!$D$45*Inputs!$D$36+C26*Inputs!$D$51*12</f>
        <v>0</v>
      </c>
      <c r="D38" s="24" t="n">
        <f aca="false">D22*Inputs!$D$45*Inputs!$D$36+D26*Inputs!$D$51*12</f>
        <v>24.255</v>
      </c>
      <c r="E38" s="24" t="n">
        <f aca="false">E22*Inputs!$D$45*Inputs!$D$36+E26*Inputs!$D$51*12</f>
        <v>230.4225</v>
      </c>
      <c r="F38" s="24" t="n">
        <f aca="false">F22*Inputs!$D$45*Inputs!$D$36+F26*Inputs!$D$51*12</f>
        <v>1852.5346875</v>
      </c>
      <c r="G38" s="24" t="n">
        <f aca="false">G22*Inputs!$D$45*Inputs!$D$36+G26*Inputs!$D$51*12</f>
        <v>6189.094078125</v>
      </c>
      <c r="H38" s="24" t="n">
        <f aca="false">SUM(C38:G38)</f>
        <v>8296.306265625</v>
      </c>
    </row>
    <row r="39" customFormat="false" ht="15" hidden="false" customHeight="false" outlineLevel="0" collapsed="false">
      <c r="A39" s="12" t="s">
        <v>370</v>
      </c>
      <c r="B39" s="10" t="s">
        <v>178</v>
      </c>
      <c r="C39" s="24" t="n">
        <f aca="false">C22*Inputs!$D$44*C31+(C24+C26)*Inputs!$D$44*C32</f>
        <v>0</v>
      </c>
      <c r="D39" s="24" t="n">
        <f aca="false">D22*Inputs!$D$44*D31+(D24+D26)*Inputs!$D$44*D32</f>
        <v>25.245</v>
      </c>
      <c r="E39" s="24" t="n">
        <f aca="false">E22*Inputs!$D$44*E31+(E24+E26)*Inputs!$D$44*E32</f>
        <v>239.8275</v>
      </c>
      <c r="F39" s="24" t="n">
        <f aca="false">F22*Inputs!$D$44*F31+(F24+F26)*Inputs!$D$44*F32</f>
        <v>1014.1621875</v>
      </c>
      <c r="G39" s="24" t="n">
        <f aca="false">G22*Inputs!$D$44*G31+(G24+G26)*Inputs!$D$44*G32</f>
        <v>2775.636703125</v>
      </c>
      <c r="H39" s="24" t="n">
        <f aca="false">SUM(C39:G39)</f>
        <v>4054.871390625</v>
      </c>
    </row>
    <row r="40" customFormat="false" ht="15" hidden="false" customHeight="false" outlineLevel="0" collapsed="false">
      <c r="A40" s="12" t="s">
        <v>371</v>
      </c>
      <c r="B40" s="10" t="s">
        <v>178</v>
      </c>
      <c r="C40" s="24" t="n">
        <f aca="false">0*Inputs!$D$47*Inputs!$D$46+0*Inputs!$D$49*Inputs!$D$48</f>
        <v>0</v>
      </c>
      <c r="D40" s="24" t="n">
        <f aca="false">C13*Inputs!$D$47*Inputs!$D$46+0*Inputs!$D$49*Inputs!$D$48</f>
        <v>0</v>
      </c>
      <c r="E40" s="24" t="n">
        <f aca="false">D13*Inputs!$D$47*Inputs!$D$46+C13*Inputs!$D$49*Inputs!$D$48</f>
        <v>18</v>
      </c>
      <c r="F40" s="24" t="n">
        <f aca="false">E13*Inputs!$D$47*Inputs!$D$46+D13*Inputs!$D$49*Inputs!$D$48</f>
        <v>171</v>
      </c>
      <c r="G40" s="24" t="n">
        <f aca="false">F13*Inputs!$D$47*Inputs!$D$46+E13*Inputs!$D$49*Inputs!$D$48</f>
        <v>699.75</v>
      </c>
      <c r="H40" s="24" t="n">
        <f aca="false">SUM(C40:G40)</f>
        <v>888.75</v>
      </c>
    </row>
    <row r="41" customFormat="false" ht="15" hidden="false" customHeight="false" outlineLevel="0" collapsed="false">
      <c r="A41" s="25" t="s">
        <v>372</v>
      </c>
      <c r="B41" s="10" t="s">
        <v>178</v>
      </c>
      <c r="C41" s="24" t="n">
        <f aca="false">SUM(C34:C40)</f>
        <v>0</v>
      </c>
      <c r="D41" s="24" t="n">
        <f aca="false">SUM(D34:D40)</f>
        <v>1450.8</v>
      </c>
      <c r="E41" s="24" t="n">
        <f aca="false">SUM(E34:E40)</f>
        <v>36093.45</v>
      </c>
      <c r="F41" s="24" t="n">
        <f aca="false">SUM(F34:F40)</f>
        <v>137945.504375</v>
      </c>
      <c r="G41" s="24" t="n">
        <f aca="false">SUM(G34:G40)</f>
        <v>277862.32790625</v>
      </c>
      <c r="H41" s="24" t="n">
        <f aca="false">SUM(C41:G41)</f>
        <v>453352.08228125</v>
      </c>
    </row>
    <row r="42" customFormat="false" ht="15" hidden="false" customHeight="false" outlineLevel="0" collapsed="false">
      <c r="A42" s="15" t="s">
        <v>373</v>
      </c>
      <c r="B42" s="16"/>
      <c r="C42" s="16"/>
      <c r="D42" s="16"/>
      <c r="E42" s="16"/>
      <c r="F42" s="16"/>
      <c r="G42" s="16"/>
      <c r="H42" s="16"/>
    </row>
    <row r="43" customFormat="false" ht="15" hidden="false" customHeight="false" outlineLevel="0" collapsed="false">
      <c r="A43" s="12" t="s">
        <v>282</v>
      </c>
      <c r="B43" s="12" t="s">
        <v>33</v>
      </c>
      <c r="C43" s="13" t="n">
        <f aca="false">Inputs_Yearly!$E$8</f>
        <v>0.4</v>
      </c>
      <c r="D43" s="13" t="n">
        <f aca="false">Inputs_Yearly!$F$8</f>
        <v>0.45</v>
      </c>
      <c r="E43" s="13" t="n">
        <f aca="false">Inputs_Yearly!$G$8</f>
        <v>0.55</v>
      </c>
      <c r="F43" s="13" t="n">
        <f aca="false">Inputs_Yearly!$H$8</f>
        <v>0.62</v>
      </c>
      <c r="G43" s="13" t="n">
        <f aca="false">Inputs_Yearly!$I$8</f>
        <v>0.65</v>
      </c>
    </row>
    <row r="44" customFormat="false" ht="15" hidden="false" customHeight="false" outlineLevel="0" collapsed="false">
      <c r="A44" s="12" t="s">
        <v>374</v>
      </c>
      <c r="B44" s="10" t="s">
        <v>178</v>
      </c>
      <c r="C44" s="14" t="n">
        <f aca="false">Inputs!$D$53*(C43+Inputs!$D$54*(1-C43))+Inputs!$D$55*(1-C43)</f>
        <v>332</v>
      </c>
      <c r="D44" s="14" t="n">
        <f aca="false">Inputs!$D$53*(D43+Inputs!$D$54*(1-D43))+Inputs!$D$55*(1-D43)</f>
        <v>321</v>
      </c>
      <c r="E44" s="14" t="n">
        <f aca="false">Inputs!$D$53*(E43+Inputs!$D$54*(1-E43))+Inputs!$D$55*(1-E43)</f>
        <v>299</v>
      </c>
      <c r="F44" s="14" t="n">
        <f aca="false">Inputs!$D$53*(F43+Inputs!$D$54*(1-F43))+Inputs!$D$55*(1-F43)</f>
        <v>283.6</v>
      </c>
      <c r="G44" s="14" t="n">
        <f aca="false">Inputs!$D$53*(G43+Inputs!$D$54*(1-G43))+Inputs!$D$55*(1-G43)</f>
        <v>277</v>
      </c>
    </row>
    <row r="45" customFormat="false" ht="15" hidden="false" customHeight="false" outlineLevel="0" collapsed="false">
      <c r="A45" s="12" t="s">
        <v>375</v>
      </c>
      <c r="B45" s="10" t="s">
        <v>178</v>
      </c>
      <c r="C45" s="14" t="n">
        <f aca="false">Inputs_Yearly!$E$12</f>
        <v>1600</v>
      </c>
      <c r="D45" s="14" t="n">
        <f aca="false">Inputs_Yearly!$F$12</f>
        <v>1500</v>
      </c>
      <c r="E45" s="14" t="n">
        <f aca="false">Inputs_Yearly!$G$12</f>
        <v>1300</v>
      </c>
      <c r="F45" s="14" t="n">
        <f aca="false">Inputs_Yearly!$H$12</f>
        <v>1180</v>
      </c>
      <c r="G45" s="14" t="n">
        <f aca="false">Inputs_Yearly!$I$12</f>
        <v>1080</v>
      </c>
    </row>
    <row r="46" customFormat="false" ht="15" hidden="false" customHeight="false" outlineLevel="0" collapsed="false">
      <c r="A46" s="12" t="s">
        <v>376</v>
      </c>
      <c r="B46" s="10" t="s">
        <v>178</v>
      </c>
      <c r="C46" s="14" t="n">
        <f aca="false">Inputs_Yearly!$E$20*Inputs_Yearly!$E$24+Inputs!$D$59*Inputs!$D$60+Inputs!$D$61</f>
        <v>50.2</v>
      </c>
      <c r="D46" s="14" t="n">
        <f aca="false">Inputs_Yearly!$F$20*Inputs_Yearly!$F$24+Inputs!$D$59*Inputs!$D$60+Inputs!$D$61</f>
        <v>48.2</v>
      </c>
      <c r="E46" s="14" t="n">
        <f aca="false">Inputs_Yearly!$G$20*Inputs_Yearly!$G$24+Inputs!$D$59*Inputs!$D$60+Inputs!$D$61</f>
        <v>45.2</v>
      </c>
      <c r="F46" s="14" t="n">
        <f aca="false">Inputs_Yearly!$H$20*Inputs_Yearly!$H$24+Inputs!$D$59*Inputs!$D$60+Inputs!$D$61</f>
        <v>42.2</v>
      </c>
      <c r="G46" s="14" t="n">
        <f aca="false">Inputs_Yearly!$I$20*Inputs_Yearly!$I$24+Inputs!$D$59*Inputs!$D$60+Inputs!$D$61</f>
        <v>40.2</v>
      </c>
    </row>
    <row r="47" customFormat="false" ht="15" hidden="false" customHeight="false" outlineLevel="0" collapsed="false">
      <c r="A47" s="12" t="s">
        <v>377</v>
      </c>
      <c r="B47" s="10" t="s">
        <v>178</v>
      </c>
      <c r="C47" s="24" t="n">
        <f aca="false">(C5+C6)*C44+C7*Inputs!$D$56</f>
        <v>0</v>
      </c>
      <c r="D47" s="24" t="n">
        <f aca="false">(D5+D6)*D44+D7*Inputs!$D$56</f>
        <v>963</v>
      </c>
      <c r="E47" s="24" t="n">
        <f aca="false">(E5+E6)*E44+E7*Inputs!$D$56</f>
        <v>8970</v>
      </c>
      <c r="F47" s="24" t="n">
        <f aca="false">(F5+F6)*F44+F7*Inputs!$D$56</f>
        <v>26942</v>
      </c>
      <c r="G47" s="24" t="n">
        <f aca="false">(G5+G6)*G44+G7*Inputs!$D$56</f>
        <v>52630</v>
      </c>
      <c r="H47" s="24" t="n">
        <f aca="false">SUM(C47:G47)</f>
        <v>89505</v>
      </c>
    </row>
    <row r="48" customFormat="false" ht="15" hidden="false" customHeight="false" outlineLevel="0" collapsed="false">
      <c r="A48" s="10" t="s">
        <v>378</v>
      </c>
      <c r="B48" s="10" t="s">
        <v>178</v>
      </c>
      <c r="C48" s="24" t="n">
        <f aca="false">(C5+C6+C7)*Inputs!$D$57</f>
        <v>0</v>
      </c>
      <c r="D48" s="24" t="n">
        <f aca="false">(D5+D6+D7)*Inputs!$D$57</f>
        <v>75</v>
      </c>
      <c r="E48" s="24" t="n">
        <f aca="false">(E5+E6+E7)*Inputs!$D$57</f>
        <v>750</v>
      </c>
      <c r="F48" s="24" t="n">
        <f aca="false">(F5+F6+F7)*Inputs!$D$57</f>
        <v>2375</v>
      </c>
      <c r="G48" s="24" t="n">
        <f aca="false">(G5+G6+G7)*Inputs!$D$57</f>
        <v>4750</v>
      </c>
      <c r="H48" s="24" t="n">
        <f aca="false">SUM(C48:G48)</f>
        <v>7950</v>
      </c>
    </row>
    <row r="49" customFormat="false" ht="15" hidden="false" customHeight="false" outlineLevel="0" collapsed="false">
      <c r="A49" s="12" t="s">
        <v>379</v>
      </c>
      <c r="B49" s="10" t="s">
        <v>178</v>
      </c>
      <c r="C49" s="24" t="n">
        <f aca="false">(C17+C19)*C45</f>
        <v>0</v>
      </c>
      <c r="D49" s="24" t="n">
        <f aca="false">(D17+D19)*D45</f>
        <v>3150</v>
      </c>
      <c r="E49" s="24" t="n">
        <f aca="false">(E17+E19)*E45</f>
        <v>20475</v>
      </c>
      <c r="F49" s="24" t="n">
        <f aca="false">(F17+F19)*F45</f>
        <v>84517.5</v>
      </c>
      <c r="G49" s="24" t="n">
        <f aca="false">(G17+G19)*G45</f>
        <v>155567.25</v>
      </c>
      <c r="H49" s="24" t="n">
        <f aca="false">SUM(C49:G49)</f>
        <v>263709.75</v>
      </c>
    </row>
    <row r="50" customFormat="false" ht="15" hidden="false" customHeight="false" outlineLevel="0" collapsed="false">
      <c r="A50" s="10" t="s">
        <v>380</v>
      </c>
      <c r="B50" s="10" t="s">
        <v>178</v>
      </c>
      <c r="C50" s="24" t="n">
        <f aca="false">C13*Inputs_Yearly!$E$16</f>
        <v>0</v>
      </c>
      <c r="D50" s="24" t="n">
        <f aca="false">D13*Inputs_Yearly!$F$16</f>
        <v>300</v>
      </c>
      <c r="E50" s="24" t="n">
        <f aca="false">E13*Inputs_Yearly!$G$16</f>
        <v>1687.5</v>
      </c>
      <c r="F50" s="24" t="n">
        <f aca="false">F13*Inputs_Yearly!$H$16</f>
        <v>4440.75</v>
      </c>
      <c r="G50" s="24" t="n">
        <f aca="false">G13*Inputs_Yearly!$I$16</f>
        <v>7922.40625</v>
      </c>
      <c r="H50" s="24" t="n">
        <f aca="false">SUM(C50:G50)</f>
        <v>14350.65625</v>
      </c>
    </row>
    <row r="51" customFormat="false" ht="15" hidden="false" customHeight="false" outlineLevel="0" collapsed="false">
      <c r="A51" s="12" t="s">
        <v>381</v>
      </c>
      <c r="B51" s="10" t="s">
        <v>178</v>
      </c>
      <c r="C51" s="14" t="n">
        <f aca="false">Inputs!$D$58*C36</f>
        <v>0</v>
      </c>
      <c r="D51" s="14" t="n">
        <f aca="false">Inputs!$D$58*D36</f>
        <v>40.635</v>
      </c>
      <c r="E51" s="14" t="n">
        <f aca="false">Inputs!$D$58*E36</f>
        <v>1015.875</v>
      </c>
      <c r="F51" s="14" t="n">
        <f aca="false">Inputs!$D$58*F36</f>
        <v>4425.780375</v>
      </c>
      <c r="G51" s="14" t="n">
        <f aca="false">Inputs!$D$58*G36</f>
        <v>8900.60735625</v>
      </c>
      <c r="H51" s="24" t="n">
        <f aca="false">SUM(C51:G51)</f>
        <v>14382.89773125</v>
      </c>
    </row>
    <row r="52" customFormat="false" ht="15" hidden="false" customHeight="false" outlineLevel="0" collapsed="false">
      <c r="A52" s="12" t="s">
        <v>382</v>
      </c>
      <c r="B52" s="10" t="s">
        <v>178</v>
      </c>
      <c r="C52" s="24" t="n">
        <f aca="false">C18*C45</f>
        <v>0</v>
      </c>
      <c r="D52" s="24" t="n">
        <f aca="false">D18*D45</f>
        <v>1350</v>
      </c>
      <c r="E52" s="24" t="n">
        <f aca="false">E18*E45</f>
        <v>8775</v>
      </c>
      <c r="F52" s="24" t="n">
        <f aca="false">F18*F45</f>
        <v>0</v>
      </c>
      <c r="G52" s="24" t="n">
        <f aca="false">G18*G45</f>
        <v>0</v>
      </c>
      <c r="H52" s="24" t="n">
        <f aca="false">SUM(C52:G52)</f>
        <v>10125</v>
      </c>
    </row>
    <row r="53" customFormat="false" ht="15" hidden="false" customHeight="false" outlineLevel="0" collapsed="false">
      <c r="A53" s="12" t="s">
        <v>383</v>
      </c>
      <c r="B53" s="10" t="s">
        <v>178</v>
      </c>
      <c r="C53" s="24" t="n">
        <f aca="false">0+C52</f>
        <v>0</v>
      </c>
      <c r="D53" s="24" t="n">
        <f aca="false">C53+D52</f>
        <v>1350</v>
      </c>
      <c r="E53" s="24" t="n">
        <f aca="false">D53+E52</f>
        <v>10125</v>
      </c>
      <c r="F53" s="24" t="n">
        <f aca="false">E53+F52</f>
        <v>10125</v>
      </c>
      <c r="G53" s="24" t="n">
        <f aca="false">F53+G52</f>
        <v>10125</v>
      </c>
    </row>
    <row r="54" customFormat="false" ht="15" hidden="false" customHeight="false" outlineLevel="0" collapsed="false">
      <c r="A54" s="12" t="s">
        <v>384</v>
      </c>
      <c r="B54" s="10" t="s">
        <v>178</v>
      </c>
      <c r="C54" s="24" t="n">
        <f aca="false">0*(1-Inputs!$D$68)/5+C52*(1-Inputs!$D$68)/5*0.5</f>
        <v>0</v>
      </c>
      <c r="D54" s="24" t="n">
        <f aca="false">C53*(1-Inputs!$D$68)/5+D52*(1-Inputs!$D$68)/5*0.5</f>
        <v>114.75</v>
      </c>
      <c r="E54" s="24" t="n">
        <f aca="false">D53*(1-Inputs!$D$68)/5+E52*(1-Inputs!$D$68)/5*0.5</f>
        <v>975.375</v>
      </c>
      <c r="F54" s="24" t="n">
        <f aca="false">E53*(1-Inputs!$D$68)/5+F52*(1-Inputs!$D$68)/5*0.5</f>
        <v>1721.25</v>
      </c>
      <c r="G54" s="24" t="n">
        <f aca="false">F53*(1-Inputs!$D$68)/5+G52*(1-Inputs!$D$68)/5*0.5</f>
        <v>1721.25</v>
      </c>
      <c r="H54" s="24" t="n">
        <f aca="false">SUM(C54:G54)</f>
        <v>4532.625</v>
      </c>
    </row>
    <row r="55" customFormat="false" ht="15" hidden="false" customHeight="false" outlineLevel="0" collapsed="false">
      <c r="A55" s="12" t="s">
        <v>385</v>
      </c>
      <c r="B55" s="10" t="s">
        <v>178</v>
      </c>
      <c r="C55" s="24" t="n">
        <f aca="false">(C22*Inputs!$D$45+C24+C26)*C46</f>
        <v>0</v>
      </c>
      <c r="D55" s="24" t="n">
        <f aca="false">(D22*Inputs!$D$45+D24+D26)*D46</f>
        <v>49.5255</v>
      </c>
      <c r="E55" s="24" t="n">
        <f aca="false">(E22*Inputs!$D$45+E24+E26)*E46</f>
        <v>441.2085</v>
      </c>
      <c r="F55" s="24" t="n">
        <f aca="false">(F22*Inputs!$D$45+F24+F26)*F46</f>
        <v>1806.36440625</v>
      </c>
      <c r="G55" s="24" t="n">
        <f aca="false">(G22*Inputs!$D$45+G24+G26)*G46</f>
        <v>4787.7260953125</v>
      </c>
      <c r="H55" s="24" t="n">
        <f aca="false">SUM(C55:G55)</f>
        <v>7084.8245015625</v>
      </c>
    </row>
    <row r="56" customFormat="false" ht="15" hidden="false" customHeight="false" outlineLevel="0" collapsed="false">
      <c r="A56" s="12" t="s">
        <v>386</v>
      </c>
      <c r="B56" s="10" t="s">
        <v>178</v>
      </c>
      <c r="C56" s="24" t="n">
        <f aca="false">C39*Inputs!$D$62+(C24+C26)*C33*Inputs!$D$62</f>
        <v>0</v>
      </c>
      <c r="D56" s="24" t="n">
        <f aca="false">D39*Inputs!$D$62+(D24+D26)*D33*Inputs!$D$62</f>
        <v>13.338</v>
      </c>
      <c r="E56" s="24" t="n">
        <f aca="false">E39*Inputs!$D$62+(E24+E26)*E33*Inputs!$D$62</f>
        <v>126.711</v>
      </c>
      <c r="F56" s="24" t="n">
        <f aca="false">F39*Inputs!$D$62+(F24+F26)*F33*Inputs!$D$62</f>
        <v>550.992375</v>
      </c>
      <c r="G56" s="24" t="n">
        <f aca="false">G39*Inputs!$D$62+(G24+G26)*G33*Inputs!$D$62</f>
        <v>1527.32480625</v>
      </c>
      <c r="H56" s="24" t="n">
        <f aca="false">SUM(C56:G56)</f>
        <v>2218.36618125</v>
      </c>
    </row>
    <row r="57" customFormat="false" ht="15" hidden="false" customHeight="false" outlineLevel="0" collapsed="false">
      <c r="A57" s="12" t="s">
        <v>387</v>
      </c>
      <c r="B57" s="10" t="s">
        <v>178</v>
      </c>
      <c r="C57" s="24" t="n">
        <f aca="false">0*Inputs!$D$47*Inputs!$D$46*Inputs!$D$63+0*Inputs!$D$49*Inputs!$D$48*Inputs!$D$64</f>
        <v>0</v>
      </c>
      <c r="D57" s="24" t="n">
        <f aca="false">C13*Inputs!$D$47*Inputs!$D$46*Inputs!$D$63+0*Inputs!$D$49*Inputs!$D$48*Inputs!$D$64</f>
        <v>0</v>
      </c>
      <c r="E57" s="24" t="n">
        <f aca="false">D13*Inputs!$D$47*Inputs!$D$46*Inputs!$D$63+C13*Inputs!$D$49*Inputs!$D$48*Inputs!$D$64</f>
        <v>1.8</v>
      </c>
      <c r="F57" s="24" t="n">
        <f aca="false">E13*Inputs!$D$47*Inputs!$D$46*Inputs!$D$63+D13*Inputs!$D$49*Inputs!$D$48*Inputs!$D$64</f>
        <v>29.7</v>
      </c>
      <c r="G57" s="24" t="n">
        <f aca="false">F13*Inputs!$D$47*Inputs!$D$46*Inputs!$D$63+E13*Inputs!$D$49*Inputs!$D$48*Inputs!$D$64</f>
        <v>164.475</v>
      </c>
      <c r="H57" s="24" t="n">
        <f aca="false">SUM(C57:G57)</f>
        <v>195.975</v>
      </c>
    </row>
    <row r="58" customFormat="false" ht="15" hidden="false" customHeight="false" outlineLevel="0" collapsed="false">
      <c r="A58" s="12" t="s">
        <v>388</v>
      </c>
      <c r="B58" s="10" t="s">
        <v>178</v>
      </c>
      <c r="C58" s="24" t="n">
        <f aca="false">C47+C48+C49+C50+C51+C54+C55+C56+C57</f>
        <v>0</v>
      </c>
      <c r="D58" s="24" t="n">
        <f aca="false">D47+D48+D49+D50+D51+D54+D55+D56+D57</f>
        <v>4706.2485</v>
      </c>
      <c r="E58" s="24" t="n">
        <f aca="false">E47+E48+E49+E50+E51+E54+E55+E56+E57</f>
        <v>34443.4695</v>
      </c>
      <c r="F58" s="24" t="n">
        <f aca="false">F47+F48+F49+F50+F51+F54+F55+F56+F57</f>
        <v>126809.33715625</v>
      </c>
      <c r="G58" s="24" t="n">
        <f aca="false">G47+G48+G49+G50+G51+G54+G55+G56+G57</f>
        <v>237971.039507813</v>
      </c>
      <c r="H58" s="24" t="n">
        <f aca="false">SUM(C58:G58)</f>
        <v>403930.094664063</v>
      </c>
    </row>
    <row r="59" customFormat="false" ht="15" hidden="false" customHeight="false" outlineLevel="0" collapsed="false">
      <c r="A59" s="25" t="s">
        <v>31</v>
      </c>
      <c r="B59" s="10" t="s">
        <v>178</v>
      </c>
      <c r="C59" s="24" t="n">
        <f aca="false">C41-C58</f>
        <v>0</v>
      </c>
      <c r="D59" s="24" t="n">
        <f aca="false">D41-D58</f>
        <v>-3255.4485</v>
      </c>
      <c r="E59" s="24" t="n">
        <f aca="false">E41-E58</f>
        <v>1649.98049999999</v>
      </c>
      <c r="F59" s="24" t="n">
        <f aca="false">F41-F58</f>
        <v>11136.16721875</v>
      </c>
      <c r="G59" s="24" t="n">
        <f aca="false">G41-G58</f>
        <v>39891.2883984375</v>
      </c>
      <c r="H59" s="24" t="n">
        <f aca="false">SUM(C59:G59)</f>
        <v>49421.9876171875</v>
      </c>
    </row>
    <row r="60" customFormat="false" ht="15" hidden="false" customHeight="false" outlineLevel="0" collapsed="false">
      <c r="A60" s="10" t="s">
        <v>32</v>
      </c>
      <c r="B60" s="12" t="s">
        <v>33</v>
      </c>
      <c r="C60" s="26" t="n">
        <f aca="false">IF(C41=0,0,C59/C41)</f>
        <v>0</v>
      </c>
      <c r="D60" s="26" t="n">
        <f aca="false">IF(D41=0,0,D59/D41)</f>
        <v>-2.24389888337469</v>
      </c>
      <c r="E60" s="26" t="n">
        <f aca="false">IF(E41=0,0,E59/E41)</f>
        <v>0.0457141254161071</v>
      </c>
      <c r="F60" s="26" t="n">
        <f aca="false">IF(F41=0,0,F59/F41)</f>
        <v>0.0807287433483642</v>
      </c>
      <c r="G60" s="26" t="n">
        <f aca="false">IF(G41=0,0,G59/G41)</f>
        <v>0.143564939871578</v>
      </c>
    </row>
    <row r="61" customFormat="false" ht="15" hidden="false" customHeight="false" outlineLevel="0" collapsed="false">
      <c r="A61" s="15" t="s">
        <v>389</v>
      </c>
      <c r="B61" s="16"/>
      <c r="C61" s="16"/>
      <c r="D61" s="16"/>
      <c r="E61" s="16"/>
      <c r="F61" s="16"/>
      <c r="G61" s="16"/>
      <c r="H61" s="16"/>
    </row>
    <row r="62" customFormat="false" ht="15" hidden="false" customHeight="false" outlineLevel="0" collapsed="false">
      <c r="A62" s="12" t="s">
        <v>390</v>
      </c>
      <c r="B62" s="10" t="s">
        <v>178</v>
      </c>
      <c r="C62" s="14" t="n">
        <f aca="false">Inputs!$D$65*C6*(Inputs!$D$30*C30+C9*(Inputs!$D$32+Inputs!$D$33)*C30)</f>
        <v>0</v>
      </c>
      <c r="D62" s="14" t="n">
        <f aca="false">Inputs!$D$65*D6*(Inputs!$D$30*D30+D9*(Inputs!$D$32+Inputs!$D$33)*D30)</f>
        <v>0</v>
      </c>
      <c r="E62" s="14" t="n">
        <f aca="false">Inputs!$D$65*E6*(Inputs!$D$30*E30+E9*(Inputs!$D$32+Inputs!$D$33)*E30)</f>
        <v>1713</v>
      </c>
      <c r="F62" s="14" t="n">
        <f aca="false">Inputs!$D$65*F6*(Inputs!$D$30*F30+F9*(Inputs!$D$32+Inputs!$D$33)*F30)</f>
        <v>10278</v>
      </c>
      <c r="G62" s="14" t="n">
        <f aca="false">Inputs!$D$65*G6*(Inputs!$D$30*G30+G9*(Inputs!$D$32+Inputs!$D$33)*G30)</f>
        <v>25695</v>
      </c>
      <c r="H62" s="24" t="n">
        <f aca="false">SUM(C62:G62)</f>
        <v>37686</v>
      </c>
    </row>
    <row r="63" customFormat="false" ht="15" hidden="false" customHeight="false" outlineLevel="0" collapsed="false">
      <c r="A63" s="10" t="s">
        <v>391</v>
      </c>
      <c r="B63" s="10" t="s">
        <v>178</v>
      </c>
      <c r="C63" s="24" t="n">
        <f aca="false">C5*Inputs!$D$66</f>
        <v>0</v>
      </c>
      <c r="D63" s="24" t="n">
        <f aca="false">D5*Inputs!$D$66</f>
        <v>540</v>
      </c>
      <c r="E63" s="24" t="n">
        <f aca="false">E5*Inputs!$D$66</f>
        <v>3600</v>
      </c>
      <c r="F63" s="24" t="n">
        <f aca="false">F5*Inputs!$D$66</f>
        <v>6300</v>
      </c>
      <c r="G63" s="24" t="n">
        <f aca="false">G5*Inputs!$D$66</f>
        <v>7200</v>
      </c>
      <c r="H63" s="24" t="n">
        <f aca="false">SUM(C63:G63)</f>
        <v>17640</v>
      </c>
    </row>
    <row r="64" customFormat="false" ht="15" hidden="false" customHeight="false" outlineLevel="0" collapsed="false">
      <c r="A64" s="10" t="s">
        <v>392</v>
      </c>
      <c r="B64" s="10" t="s">
        <v>178</v>
      </c>
      <c r="C64" s="14" t="n">
        <f aca="false">Inputs_Yearly!$E$48*Inputs!$D$67</f>
        <v>0</v>
      </c>
      <c r="D64" s="14" t="n">
        <f aca="false">Inputs_Yearly!$F$48*Inputs!$D$67</f>
        <v>0</v>
      </c>
      <c r="E64" s="14" t="n">
        <f aca="false">Inputs_Yearly!$G$48*Inputs!$D$67</f>
        <v>0</v>
      </c>
      <c r="F64" s="14" t="n">
        <f aca="false">Inputs_Yearly!$H$48*Inputs!$D$67</f>
        <v>2000</v>
      </c>
      <c r="G64" s="14" t="n">
        <f aca="false">Inputs_Yearly!$I$48*Inputs!$D$67</f>
        <v>4000</v>
      </c>
      <c r="H64" s="24" t="n">
        <f aca="false">SUM(C64:G64)</f>
        <v>6000</v>
      </c>
    </row>
    <row r="65" customFormat="false" ht="15" hidden="false" customHeight="false" outlineLevel="0" collapsed="false">
      <c r="A65" s="18" t="s">
        <v>393</v>
      </c>
      <c r="B65" s="10" t="s">
        <v>178</v>
      </c>
      <c r="C65" s="24" t="n">
        <f aca="false">C59-C62-C63-C64</f>
        <v>0</v>
      </c>
      <c r="D65" s="24" t="n">
        <f aca="false">D59-D62-D63-D64</f>
        <v>-3795.4485</v>
      </c>
      <c r="E65" s="24" t="n">
        <f aca="false">E59-E62-E63-E64</f>
        <v>-3663.01950000001</v>
      </c>
      <c r="F65" s="24" t="n">
        <f aca="false">F59-F62-F63-F64</f>
        <v>-7441.83278124998</v>
      </c>
      <c r="G65" s="24" t="n">
        <f aca="false">G59-G62-G63-G64</f>
        <v>2996.28839843746</v>
      </c>
      <c r="H65" s="24" t="n">
        <f aca="false">SUM(C65:G65)</f>
        <v>-11904.0123828125</v>
      </c>
    </row>
    <row r="66" customFormat="false" ht="15" hidden="false" customHeight="false" outlineLevel="0" collapsed="false">
      <c r="A66" s="10" t="s">
        <v>394</v>
      </c>
      <c r="B66" s="10" t="s">
        <v>178</v>
      </c>
      <c r="C66" s="14" t="n">
        <f aca="false">Inputs_Yearly!$E$52*Inputs!$D$77</f>
        <v>37400</v>
      </c>
      <c r="D66" s="14" t="n">
        <f aca="false">Inputs_Yearly!$F$52*Inputs!$D$77</f>
        <v>59500</v>
      </c>
      <c r="E66" s="14" t="n">
        <f aca="false">Inputs_Yearly!$G$52*Inputs!$D$77</f>
        <v>170000</v>
      </c>
      <c r="F66" s="14" t="n">
        <f aca="false">Inputs_Yearly!$H$52*Inputs!$D$77</f>
        <v>272000</v>
      </c>
      <c r="G66" s="14" t="n">
        <f aca="false">Inputs_Yearly!$I$52*Inputs!$D$77</f>
        <v>357000</v>
      </c>
      <c r="H66" s="24" t="n">
        <f aca="false">SUM(C66:G66)</f>
        <v>895900</v>
      </c>
    </row>
    <row r="67" customFormat="false" ht="15" hidden="false" customHeight="false" outlineLevel="0" collapsed="false">
      <c r="A67" s="10" t="s">
        <v>395</v>
      </c>
      <c r="B67" s="10" t="s">
        <v>178</v>
      </c>
      <c r="C67" s="14" t="n">
        <f aca="false">Inputs_Yearly!$E$56+Inputs_Yearly!$E$60+Inputs_Yearly!$E$64+Inputs_Yearly!$E$68+Inputs_Yearly!$E$72+Inputs_Yearly!$E$76+Inputs_Yearly!$E$80</f>
        <v>29500</v>
      </c>
      <c r="D67" s="14" t="n">
        <f aca="false">Inputs_Yearly!$F$56+Inputs_Yearly!$F$60+Inputs_Yearly!$F$64+Inputs_Yearly!$F$68+Inputs_Yearly!$F$72+Inputs_Yearly!$F$76+Inputs_Yearly!$F$80</f>
        <v>27500</v>
      </c>
      <c r="E67" s="14" t="n">
        <f aca="false">Inputs_Yearly!$G$56+Inputs_Yearly!$G$60+Inputs_Yearly!$G$64+Inputs_Yearly!$G$68+Inputs_Yearly!$G$72+Inputs_Yearly!$G$76+Inputs_Yearly!$G$80</f>
        <v>135000</v>
      </c>
      <c r="F67" s="14" t="n">
        <f aca="false">Inputs_Yearly!$H$56+Inputs_Yearly!$H$60+Inputs_Yearly!$H$64+Inputs_Yearly!$H$68+Inputs_Yearly!$H$72+Inputs_Yearly!$H$76+Inputs_Yearly!$H$80</f>
        <v>167000</v>
      </c>
      <c r="G67" s="14" t="n">
        <f aca="false">Inputs_Yearly!$I$56+Inputs_Yearly!$I$60+Inputs_Yearly!$I$64+Inputs_Yearly!$I$68+Inputs_Yearly!$I$72+Inputs_Yearly!$I$76+Inputs_Yearly!$I$80</f>
        <v>210000</v>
      </c>
      <c r="H67" s="24" t="n">
        <f aca="false">SUM(C67:G67)</f>
        <v>569000</v>
      </c>
    </row>
    <row r="68" customFormat="false" ht="15" hidden="false" customHeight="false" outlineLevel="0" collapsed="false">
      <c r="A68" s="12" t="s">
        <v>396</v>
      </c>
      <c r="B68" s="10" t="s">
        <v>178</v>
      </c>
      <c r="C68" s="24" t="n">
        <f aca="false">C66+C67</f>
        <v>66900</v>
      </c>
      <c r="D68" s="24" t="n">
        <f aca="false">D66+D67</f>
        <v>87000</v>
      </c>
      <c r="E68" s="24" t="n">
        <f aca="false">E66+E67</f>
        <v>305000</v>
      </c>
      <c r="F68" s="24" t="n">
        <f aca="false">F66+F67</f>
        <v>439000</v>
      </c>
      <c r="G68" s="24" t="n">
        <f aca="false">G66+G67</f>
        <v>567000</v>
      </c>
      <c r="H68" s="24" t="n">
        <f aca="false">SUM(C68:G68)</f>
        <v>1464900</v>
      </c>
    </row>
    <row r="69" customFormat="false" ht="15" hidden="false" customHeight="false" outlineLevel="0" collapsed="false">
      <c r="A69" s="25" t="s">
        <v>397</v>
      </c>
      <c r="B69" s="10" t="s">
        <v>178</v>
      </c>
      <c r="C69" s="24" t="n">
        <f aca="false">C65-C68</f>
        <v>-66900</v>
      </c>
      <c r="D69" s="24" t="n">
        <f aca="false">D65-D68</f>
        <v>-90795.4485</v>
      </c>
      <c r="E69" s="24" t="n">
        <f aca="false">E65-E68</f>
        <v>-308663.0195</v>
      </c>
      <c r="F69" s="24" t="n">
        <f aca="false">F65-F68</f>
        <v>-446441.83278125</v>
      </c>
      <c r="G69" s="24" t="n">
        <f aca="false">G65-G68</f>
        <v>-564003.711601563</v>
      </c>
      <c r="H69" s="24" t="n">
        <f aca="false">SUM(C69:G69)</f>
        <v>-1476804.01238281</v>
      </c>
    </row>
    <row r="70" customFormat="false" ht="15" hidden="false" customHeight="false" outlineLevel="0" collapsed="false">
      <c r="A70" s="10" t="s">
        <v>398</v>
      </c>
      <c r="B70" s="10" t="s">
        <v>178</v>
      </c>
      <c r="C70" s="24" t="n">
        <f aca="false">C69+C54-C52</f>
        <v>-66900</v>
      </c>
      <c r="D70" s="24" t="n">
        <f aca="false">D69+D54-D52</f>
        <v>-92030.6985</v>
      </c>
      <c r="E70" s="24" t="n">
        <f aca="false">E69+E54-E52</f>
        <v>-316462.6445</v>
      </c>
      <c r="F70" s="24" t="n">
        <f aca="false">F69+F54-F52</f>
        <v>-444720.58278125</v>
      </c>
      <c r="G70" s="24" t="n">
        <f aca="false">G69+G54-G52</f>
        <v>-562282.461601563</v>
      </c>
      <c r="H70" s="24" t="n">
        <f aca="false">SUM(C70:G70)</f>
        <v>-1482396.38738281</v>
      </c>
    </row>
    <row r="71" customFormat="false" ht="15" hidden="false" customHeight="false" outlineLevel="0" collapsed="false">
      <c r="A71" s="10" t="s">
        <v>37</v>
      </c>
      <c r="B71" s="10" t="s">
        <v>178</v>
      </c>
      <c r="C71" s="24" t="n">
        <f aca="false">0+C70</f>
        <v>-66900</v>
      </c>
      <c r="D71" s="24" t="n">
        <f aca="false">C71+D70</f>
        <v>-158930.6985</v>
      </c>
      <c r="E71" s="24" t="n">
        <f aca="false">D71+E70</f>
        <v>-475393.343</v>
      </c>
      <c r="F71" s="24" t="n">
        <f aca="false">E71+F70</f>
        <v>-920113.92578125</v>
      </c>
      <c r="G71" s="24" t="n">
        <f aca="false">F71+G70</f>
        <v>-1482396.38738281</v>
      </c>
    </row>
    <row r="72" customFormat="false" ht="15" hidden="false" customHeight="false" outlineLevel="0" collapsed="false">
      <c r="A72" s="15" t="s">
        <v>399</v>
      </c>
      <c r="B72" s="16"/>
      <c r="C72" s="16"/>
      <c r="D72" s="16"/>
      <c r="E72" s="16"/>
      <c r="F72" s="16"/>
      <c r="G72" s="16"/>
      <c r="H72" s="16"/>
    </row>
    <row r="73" customFormat="false" ht="15" hidden="false" customHeight="false" outlineLevel="0" collapsed="false">
      <c r="A73" s="12" t="s">
        <v>400</v>
      </c>
      <c r="B73" s="10" t="s">
        <v>178</v>
      </c>
      <c r="C73" s="24" t="n">
        <f aca="false">C34+C35</f>
        <v>0</v>
      </c>
      <c r="D73" s="24" t="n">
        <f aca="false">D34+D35</f>
        <v>432</v>
      </c>
      <c r="E73" s="24" t="n">
        <f aca="false">E34+E35</f>
        <v>13800</v>
      </c>
      <c r="F73" s="24" t="n">
        <f aca="false">F34+F35</f>
        <v>43730</v>
      </c>
      <c r="G73" s="24" t="n">
        <f aca="false">G34+G35</f>
        <v>87523.5</v>
      </c>
      <c r="H73" s="24" t="n">
        <f aca="false">SUM(C73:G73)</f>
        <v>145485.5</v>
      </c>
    </row>
    <row r="74" customFormat="false" ht="15" hidden="false" customHeight="false" outlineLevel="0" collapsed="false">
      <c r="A74" s="12" t="s">
        <v>401</v>
      </c>
      <c r="B74" s="10" t="s">
        <v>178</v>
      </c>
      <c r="C74" s="24" t="n">
        <f aca="false">C37+C38+C39</f>
        <v>0</v>
      </c>
      <c r="D74" s="24" t="n">
        <f aca="false">D37+D38+D39</f>
        <v>206.1</v>
      </c>
      <c r="E74" s="24" t="n">
        <f aca="false">E37+E38+E39</f>
        <v>1957.95</v>
      </c>
      <c r="F74" s="24" t="n">
        <f aca="false">F37+F38+F39</f>
        <v>5528.896875</v>
      </c>
      <c r="G74" s="24" t="n">
        <f aca="false">G37+G38+G39</f>
        <v>11626.93078125</v>
      </c>
      <c r="H74" s="24" t="n">
        <f aca="false">SUM(C74:G74)</f>
        <v>19319.87765625</v>
      </c>
    </row>
    <row r="75" customFormat="false" ht="15" hidden="false" customHeight="false" outlineLevel="0" collapsed="false">
      <c r="A75" s="12" t="s">
        <v>44</v>
      </c>
      <c r="B75" s="12" t="s">
        <v>33</v>
      </c>
      <c r="C75" s="26" t="n">
        <f aca="false">IF(C41=0,0,(C36+C74+C40)/C41)</f>
        <v>0</v>
      </c>
      <c r="D75" s="26" t="n">
        <f aca="false">IF(D41=0,0,(D36+D74+D40)/D41)</f>
        <v>0.702233250620348</v>
      </c>
      <c r="E75" s="26" t="n">
        <f aca="false">IF(E41=0,0,(E36+E74+E40)/E41)</f>
        <v>0.617659159764445</v>
      </c>
      <c r="F75" s="26" t="n">
        <f aca="false">IF(F41=0,0,(F36+F74+F40)/F41)</f>
        <v>0.68299075639956</v>
      </c>
      <c r="G75" s="26" t="n">
        <f aca="false">IF(G41=0,0,(G36+G74+G40)/G41)</f>
        <v>0.685011276413368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15"/>
  </cols>
  <sheetData>
    <row r="1" customFormat="false" ht="19.4" hidden="false" customHeight="false" outlineLevel="0" collapsed="false">
      <c r="A1" s="6" t="s">
        <v>402</v>
      </c>
    </row>
    <row r="2" customFormat="false" ht="15" hidden="false" customHeight="false" outlineLevel="0" collapsed="false">
      <c r="A2" s="10" t="s">
        <v>403</v>
      </c>
    </row>
    <row r="3" customFormat="false" ht="15" hidden="false" customHeight="false" outlineLevel="0" collapsed="false">
      <c r="A3" s="9" t="s">
        <v>49</v>
      </c>
      <c r="B3" s="9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28</v>
      </c>
      <c r="H3" s="8" t="s">
        <v>338</v>
      </c>
    </row>
    <row r="4" customFormat="false" ht="15" hidden="false" customHeight="false" outlineLevel="0" collapsed="false">
      <c r="A4" s="15" t="s">
        <v>240</v>
      </c>
      <c r="B4" s="16"/>
      <c r="C4" s="16"/>
      <c r="D4" s="16"/>
      <c r="E4" s="16"/>
      <c r="F4" s="16"/>
      <c r="G4" s="16"/>
      <c r="H4" s="16"/>
    </row>
    <row r="5" customFormat="false" ht="15" hidden="false" customHeight="false" outlineLevel="0" collapsed="false">
      <c r="A5" s="10" t="s">
        <v>297</v>
      </c>
      <c r="B5" s="10" t="s">
        <v>39</v>
      </c>
      <c r="C5" s="14" t="n">
        <f aca="false">Inputs_Yearly!$E$29</f>
        <v>0</v>
      </c>
      <c r="D5" s="14" t="n">
        <f aca="false">Inputs_Yearly!$F$29</f>
        <v>3</v>
      </c>
      <c r="E5" s="14" t="n">
        <f aca="false">Inputs_Yearly!$G$29</f>
        <v>30</v>
      </c>
      <c r="F5" s="14" t="n">
        <f aca="false">Inputs_Yearly!$H$29</f>
        <v>50</v>
      </c>
      <c r="G5" s="14" t="n">
        <f aca="false">Inputs_Yearly!$I$29</f>
        <v>60</v>
      </c>
      <c r="H5" s="24" t="n">
        <f aca="false">SUM(C5:G5)</f>
        <v>143</v>
      </c>
    </row>
    <row r="6" customFormat="false" ht="15" hidden="false" customHeight="false" outlineLevel="0" collapsed="false">
      <c r="A6" s="10" t="s">
        <v>300</v>
      </c>
      <c r="B6" s="10" t="s">
        <v>39</v>
      </c>
      <c r="C6" s="14" t="n">
        <f aca="false">Inputs_Yearly!$E$33</f>
        <v>0</v>
      </c>
      <c r="D6" s="14" t="n">
        <f aca="false">Inputs_Yearly!$F$33</f>
        <v>0</v>
      </c>
      <c r="E6" s="14" t="n">
        <f aca="false">Inputs_Yearly!$G$33</f>
        <v>20</v>
      </c>
      <c r="F6" s="14" t="n">
        <f aca="false">Inputs_Yearly!$H$33</f>
        <v>130</v>
      </c>
      <c r="G6" s="14" t="n">
        <f aca="false">Inputs_Yearly!$I$33</f>
        <v>340</v>
      </c>
      <c r="H6" s="24" t="n">
        <f aca="false">SUM(C6:G6)</f>
        <v>490</v>
      </c>
    </row>
    <row r="7" customFormat="false" ht="15" hidden="false" customHeight="false" outlineLevel="0" collapsed="false">
      <c r="A7" s="10" t="s">
        <v>339</v>
      </c>
      <c r="B7" s="10" t="s">
        <v>39</v>
      </c>
      <c r="C7" s="24" t="n">
        <f aca="false">0</f>
        <v>0</v>
      </c>
      <c r="D7" s="24" t="n">
        <f aca="false">0</f>
        <v>0</v>
      </c>
      <c r="E7" s="14" t="n">
        <f aca="false">Inputs_Yearly!$E$49*Inputs!$E$73*Inputs!$E$74</f>
        <v>0</v>
      </c>
      <c r="F7" s="14" t="n">
        <f aca="false">Inputs_Yearly!$F$49*Inputs!$E$73*Inputs!$E$74</f>
        <v>0</v>
      </c>
      <c r="G7" s="14" t="n">
        <f aca="false">Inputs_Yearly!$G$49*Inputs!$E$73*Inputs!$E$74</f>
        <v>80</v>
      </c>
      <c r="H7" s="24" t="n">
        <f aca="false">SUM(C7:G7)</f>
        <v>80</v>
      </c>
    </row>
    <row r="8" customFormat="false" ht="15" hidden="false" customHeight="false" outlineLevel="0" collapsed="false">
      <c r="A8" s="18" t="s">
        <v>340</v>
      </c>
      <c r="B8" s="10" t="s">
        <v>39</v>
      </c>
      <c r="C8" s="24" t="n">
        <f aca="false">C5+C6+C7</f>
        <v>0</v>
      </c>
      <c r="D8" s="24" t="n">
        <f aca="false">D5+D6+D7</f>
        <v>3</v>
      </c>
      <c r="E8" s="24" t="n">
        <f aca="false">E5+E6+E7</f>
        <v>50</v>
      </c>
      <c r="F8" s="24" t="n">
        <f aca="false">F5+F6+F7</f>
        <v>180</v>
      </c>
      <c r="G8" s="24" t="n">
        <f aca="false">G5+G6+G7</f>
        <v>480</v>
      </c>
      <c r="H8" s="24" t="n">
        <f aca="false">SUM(C8:G8)</f>
        <v>713</v>
      </c>
    </row>
    <row r="9" customFormat="false" ht="15" hidden="false" customHeight="false" outlineLevel="0" collapsed="false">
      <c r="A9" s="12" t="s">
        <v>341</v>
      </c>
      <c r="B9" s="12" t="s">
        <v>33</v>
      </c>
      <c r="C9" s="13" t="n">
        <f aca="false">Inputs_Yearly!$E$37</f>
        <v>1</v>
      </c>
      <c r="D9" s="13" t="n">
        <f aca="false">Inputs_Yearly!$F$37</f>
        <v>1</v>
      </c>
      <c r="E9" s="13" t="n">
        <f aca="false">Inputs_Yearly!$G$37</f>
        <v>0.85</v>
      </c>
      <c r="F9" s="13" t="n">
        <f aca="false">Inputs_Yearly!$H$37</f>
        <v>0.85</v>
      </c>
      <c r="G9" s="13" t="n">
        <f aca="false">Inputs_Yearly!$I$37</f>
        <v>0.85</v>
      </c>
    </row>
    <row r="10" customFormat="false" ht="15" hidden="false" customHeight="false" outlineLevel="0" collapsed="false">
      <c r="A10" s="12" t="s">
        <v>342</v>
      </c>
      <c r="B10" s="10" t="s">
        <v>41</v>
      </c>
      <c r="C10" s="24" t="n">
        <f aca="false">0*Inputs!$E$72</f>
        <v>0</v>
      </c>
      <c r="D10" s="24" t="n">
        <f aca="false">C20*Inputs!$E$72</f>
        <v>0</v>
      </c>
      <c r="E10" s="24" t="n">
        <f aca="false">D20*Inputs!$E$72</f>
        <v>0</v>
      </c>
      <c r="F10" s="24" t="n">
        <f aca="false">E20*Inputs!$E$72</f>
        <v>0.75</v>
      </c>
      <c r="G10" s="24" t="n">
        <f aca="false">F20*Inputs!$E$72</f>
        <v>3.375</v>
      </c>
      <c r="H10" s="24" t="n">
        <f aca="false">SUM(C10:G10)</f>
        <v>4.125</v>
      </c>
    </row>
    <row r="11" customFormat="false" ht="15" hidden="false" customHeight="false" outlineLevel="0" collapsed="false">
      <c r="A11" s="12" t="s">
        <v>343</v>
      </c>
      <c r="B11" s="10" t="s">
        <v>41</v>
      </c>
      <c r="C11" s="24" t="n">
        <f aca="false">(C5+C6)*C9</f>
        <v>0</v>
      </c>
      <c r="D11" s="24" t="n">
        <f aca="false">(D5+D6)*D9</f>
        <v>3</v>
      </c>
      <c r="E11" s="24" t="n">
        <f aca="false">(E5+E6)*E9</f>
        <v>42.5</v>
      </c>
      <c r="F11" s="24" t="n">
        <f aca="false">(F5+F6)*F9</f>
        <v>153</v>
      </c>
      <c r="G11" s="24" t="n">
        <f aca="false">(G5+G6)*G9</f>
        <v>340</v>
      </c>
      <c r="H11" s="24" t="n">
        <f aca="false">SUM(C11:G11)</f>
        <v>538.5</v>
      </c>
    </row>
    <row r="12" customFormat="false" ht="15" hidden="false" customHeight="false" outlineLevel="0" collapsed="false">
      <c r="A12" s="12" t="s">
        <v>344</v>
      </c>
      <c r="B12" s="10" t="s">
        <v>41</v>
      </c>
      <c r="C12" s="24" t="n">
        <f aca="false">C7*Inputs!$E$75</f>
        <v>0</v>
      </c>
      <c r="D12" s="24" t="n">
        <f aca="false">D7*Inputs!$E$75</f>
        <v>0</v>
      </c>
      <c r="E12" s="24" t="n">
        <f aca="false">E7*Inputs!$E$75</f>
        <v>0</v>
      </c>
      <c r="F12" s="24" t="n">
        <f aca="false">F7*Inputs!$E$75</f>
        <v>0</v>
      </c>
      <c r="G12" s="24" t="n">
        <f aca="false">G7*Inputs!$E$75</f>
        <v>20</v>
      </c>
      <c r="H12" s="24" t="n">
        <f aca="false">SUM(C12:G12)</f>
        <v>20</v>
      </c>
    </row>
    <row r="13" customFormat="false" ht="15" hidden="false" customHeight="false" outlineLevel="0" collapsed="false">
      <c r="A13" s="18" t="s">
        <v>345</v>
      </c>
      <c r="B13" s="10" t="s">
        <v>41</v>
      </c>
      <c r="C13" s="24" t="n">
        <f aca="false">C11+C12+C10</f>
        <v>0</v>
      </c>
      <c r="D13" s="24" t="n">
        <f aca="false">D11+D12+D10</f>
        <v>3</v>
      </c>
      <c r="E13" s="24" t="n">
        <f aca="false">E11+E12+E10</f>
        <v>42.5</v>
      </c>
      <c r="F13" s="24" t="n">
        <f aca="false">F11+F12+F10</f>
        <v>153.75</v>
      </c>
      <c r="G13" s="24" t="n">
        <f aca="false">G11+G12+G10</f>
        <v>363.375</v>
      </c>
      <c r="H13" s="24" t="n">
        <f aca="false">SUM(C13:G13)</f>
        <v>562.625</v>
      </c>
    </row>
    <row r="14" customFormat="false" ht="15" hidden="false" customHeight="false" outlineLevel="0" collapsed="false">
      <c r="A14" s="12" t="s">
        <v>346</v>
      </c>
      <c r="B14" s="12" t="s">
        <v>33</v>
      </c>
      <c r="C14" s="13" t="n">
        <f aca="false">Inputs_Yearly!$E$41</f>
        <v>0</v>
      </c>
      <c r="D14" s="13" t="n">
        <f aca="false">Inputs_Yearly!$F$41</f>
        <v>0.3</v>
      </c>
      <c r="E14" s="13" t="n">
        <f aca="false">Inputs_Yearly!$G$41</f>
        <v>0.3</v>
      </c>
      <c r="F14" s="13" t="n">
        <f aca="false">Inputs_Yearly!$H$41</f>
        <v>0.4</v>
      </c>
      <c r="G14" s="13" t="n">
        <f aca="false">Inputs_Yearly!$I$41</f>
        <v>0.4</v>
      </c>
    </row>
    <row r="15" customFormat="false" ht="15" hidden="false" customHeight="false" outlineLevel="0" collapsed="false">
      <c r="A15" s="12" t="s">
        <v>347</v>
      </c>
      <c r="B15" s="12" t="s">
        <v>309</v>
      </c>
      <c r="C15" s="14" t="n">
        <f aca="false">Inputs_Yearly!$E$45</f>
        <v>0</v>
      </c>
      <c r="D15" s="14" t="n">
        <f aca="false">Inputs_Yearly!$F$45</f>
        <v>0</v>
      </c>
      <c r="E15" s="14" t="n">
        <f aca="false">Inputs_Yearly!$G$45</f>
        <v>0</v>
      </c>
      <c r="F15" s="14" t="n">
        <f aca="false">Inputs_Yearly!$H$45</f>
        <v>1</v>
      </c>
      <c r="G15" s="14" t="n">
        <f aca="false">Inputs_Yearly!$I$45</f>
        <v>1</v>
      </c>
    </row>
    <row r="16" customFormat="false" ht="15" hidden="false" customHeight="false" outlineLevel="0" collapsed="false">
      <c r="A16" s="12" t="s">
        <v>348</v>
      </c>
      <c r="B16" s="10" t="s">
        <v>41</v>
      </c>
      <c r="C16" s="24" t="n">
        <f aca="false">C13*C14</f>
        <v>0</v>
      </c>
      <c r="D16" s="24" t="n">
        <f aca="false">D13*D14</f>
        <v>0.9</v>
      </c>
      <c r="E16" s="24" t="n">
        <f aca="false">E13*E14</f>
        <v>12.75</v>
      </c>
      <c r="F16" s="24" t="n">
        <f aca="false">F13*F14</f>
        <v>61.5</v>
      </c>
      <c r="G16" s="24" t="n">
        <f aca="false">G13*G14</f>
        <v>145.35</v>
      </c>
      <c r="H16" s="24" t="n">
        <f aca="false">SUM(C16:G16)</f>
        <v>220.5</v>
      </c>
    </row>
    <row r="17" customFormat="false" ht="15" hidden="false" customHeight="false" outlineLevel="0" collapsed="false">
      <c r="A17" s="10" t="s">
        <v>349</v>
      </c>
      <c r="B17" s="10" t="s">
        <v>41</v>
      </c>
      <c r="C17" s="24" t="n">
        <f aca="false">C13-C16</f>
        <v>0</v>
      </c>
      <c r="D17" s="24" t="n">
        <f aca="false">D13-D16</f>
        <v>2.1</v>
      </c>
      <c r="E17" s="24" t="n">
        <f aca="false">E13-E16</f>
        <v>29.75</v>
      </c>
      <c r="F17" s="24" t="n">
        <f aca="false">F13-F16</f>
        <v>92.25</v>
      </c>
      <c r="G17" s="24" t="n">
        <f aca="false">G13-G16</f>
        <v>218.025</v>
      </c>
      <c r="H17" s="24" t="n">
        <f aca="false">SUM(C17:G17)</f>
        <v>342.125</v>
      </c>
    </row>
    <row r="18" customFormat="false" ht="15" hidden="false" customHeight="false" outlineLevel="0" collapsed="false">
      <c r="A18" s="12" t="s">
        <v>350</v>
      </c>
      <c r="B18" s="10" t="s">
        <v>41</v>
      </c>
      <c r="C18" s="24" t="n">
        <f aca="false">C16*(1-C15)</f>
        <v>0</v>
      </c>
      <c r="D18" s="24" t="n">
        <f aca="false">D16*(1-D15)</f>
        <v>0.9</v>
      </c>
      <c r="E18" s="24" t="n">
        <f aca="false">E16*(1-E15)</f>
        <v>12.75</v>
      </c>
      <c r="F18" s="24" t="n">
        <f aca="false">F16*(1-F15)</f>
        <v>0</v>
      </c>
      <c r="G18" s="24" t="n">
        <f aca="false">G16*(1-G15)</f>
        <v>0</v>
      </c>
      <c r="H18" s="24" t="n">
        <f aca="false">SUM(C18:G18)</f>
        <v>13.65</v>
      </c>
    </row>
    <row r="19" customFormat="false" ht="15" hidden="false" customHeight="false" outlineLevel="0" collapsed="false">
      <c r="A19" s="12" t="s">
        <v>351</v>
      </c>
      <c r="B19" s="10" t="s">
        <v>41</v>
      </c>
      <c r="C19" s="24" t="n">
        <f aca="false">C16*C15</f>
        <v>0</v>
      </c>
      <c r="D19" s="24" t="n">
        <f aca="false">D16*D15</f>
        <v>0</v>
      </c>
      <c r="E19" s="24" t="n">
        <f aca="false">E16*E15</f>
        <v>0</v>
      </c>
      <c r="F19" s="24" t="n">
        <f aca="false">F16*F15</f>
        <v>61.5</v>
      </c>
      <c r="G19" s="24" t="n">
        <f aca="false">G16*G15</f>
        <v>145.35</v>
      </c>
      <c r="H19" s="24" t="n">
        <f aca="false">SUM(C19:G19)</f>
        <v>206.85</v>
      </c>
    </row>
    <row r="20" customFormat="false" ht="15" hidden="false" customHeight="false" outlineLevel="0" collapsed="false">
      <c r="A20" s="12" t="s">
        <v>352</v>
      </c>
      <c r="B20" s="10" t="s">
        <v>39</v>
      </c>
      <c r="C20" s="24" t="n">
        <f aca="false">0+(C5+C6)*(1-C9)+C7*(1-Inputs!$E$75)-C10</f>
        <v>0</v>
      </c>
      <c r="D20" s="24" t="n">
        <f aca="false">C20+(D5+D6)*(1-D9)+D7*(1-Inputs!$E$75)-D10</f>
        <v>0</v>
      </c>
      <c r="E20" s="24" t="n">
        <f aca="false">D20+(E5+E6)*(1-E9)+E7*(1-Inputs!$E$75)-E10</f>
        <v>7.5</v>
      </c>
      <c r="F20" s="24" t="n">
        <f aca="false">E20+(F5+F6)*(1-F9)+F7*(1-Inputs!$E$75)-F10</f>
        <v>33.75</v>
      </c>
      <c r="G20" s="24" t="n">
        <f aca="false">F20+(G5+G6)*(1-G9)+G7*(1-Inputs!$E$75)-G10</f>
        <v>150.375</v>
      </c>
    </row>
    <row r="21" customFormat="false" ht="15" hidden="false" customHeight="false" outlineLevel="0" collapsed="false">
      <c r="A21" s="10" t="s">
        <v>353</v>
      </c>
      <c r="B21" s="10" t="s">
        <v>41</v>
      </c>
      <c r="C21" s="24" t="n">
        <f aca="false">0+C17</f>
        <v>0</v>
      </c>
      <c r="D21" s="24" t="n">
        <f aca="false">C21+D17</f>
        <v>2.1</v>
      </c>
      <c r="E21" s="24" t="n">
        <f aca="false">D21+E17</f>
        <v>31.85</v>
      </c>
      <c r="F21" s="24" t="n">
        <f aca="false">E21+F17</f>
        <v>124.1</v>
      </c>
      <c r="G21" s="24" t="n">
        <f aca="false">F21+G17</f>
        <v>342.125</v>
      </c>
    </row>
    <row r="22" customFormat="false" ht="15" hidden="false" customHeight="false" outlineLevel="0" collapsed="false">
      <c r="A22" s="10" t="s">
        <v>354</v>
      </c>
      <c r="B22" s="10" t="s">
        <v>41</v>
      </c>
      <c r="C22" s="24" t="n">
        <f aca="false">0+C17/2</f>
        <v>0</v>
      </c>
      <c r="D22" s="24" t="n">
        <f aca="false">C21+D17/2</f>
        <v>1.05</v>
      </c>
      <c r="E22" s="24" t="n">
        <f aca="false">D21+E17/2</f>
        <v>16.975</v>
      </c>
      <c r="F22" s="24" t="n">
        <f aca="false">E21+F17/2</f>
        <v>77.975</v>
      </c>
      <c r="G22" s="24" t="n">
        <f aca="false">F21+G17/2</f>
        <v>233.1125</v>
      </c>
    </row>
    <row r="23" customFormat="false" ht="15" hidden="false" customHeight="false" outlineLevel="0" collapsed="false">
      <c r="A23" s="12" t="s">
        <v>355</v>
      </c>
      <c r="B23" s="10" t="s">
        <v>41</v>
      </c>
      <c r="C23" s="24" t="n">
        <f aca="false">0+C18</f>
        <v>0</v>
      </c>
      <c r="D23" s="24" t="n">
        <f aca="false">C23+D18</f>
        <v>0.9</v>
      </c>
      <c r="E23" s="24" t="n">
        <f aca="false">D23+E18</f>
        <v>13.65</v>
      </c>
      <c r="F23" s="24" t="n">
        <f aca="false">E23+F18</f>
        <v>13.65</v>
      </c>
      <c r="G23" s="24" t="n">
        <f aca="false">F23+G18</f>
        <v>13.65</v>
      </c>
    </row>
    <row r="24" customFormat="false" ht="15" hidden="false" customHeight="false" outlineLevel="0" collapsed="false">
      <c r="A24" s="12" t="s">
        <v>356</v>
      </c>
      <c r="B24" s="10" t="s">
        <v>41</v>
      </c>
      <c r="C24" s="24" t="n">
        <f aca="false">0+C18/2</f>
        <v>0</v>
      </c>
      <c r="D24" s="24" t="n">
        <f aca="false">C23+D18/2</f>
        <v>0.45</v>
      </c>
      <c r="E24" s="24" t="n">
        <f aca="false">D23+E18/2</f>
        <v>7.275</v>
      </c>
      <c r="F24" s="24" t="n">
        <f aca="false">E23+F18/2</f>
        <v>13.65</v>
      </c>
      <c r="G24" s="24" t="n">
        <f aca="false">F23+G18/2</f>
        <v>13.65</v>
      </c>
    </row>
    <row r="25" customFormat="false" ht="15" hidden="false" customHeight="false" outlineLevel="0" collapsed="false">
      <c r="A25" s="12" t="s">
        <v>357</v>
      </c>
      <c r="B25" s="10" t="s">
        <v>41</v>
      </c>
      <c r="C25" s="24" t="n">
        <f aca="false">0+C19</f>
        <v>0</v>
      </c>
      <c r="D25" s="24" t="n">
        <f aca="false">C25+D19</f>
        <v>0</v>
      </c>
      <c r="E25" s="24" t="n">
        <f aca="false">D25+E19</f>
        <v>0</v>
      </c>
      <c r="F25" s="24" t="n">
        <f aca="false">E25+F19</f>
        <v>61.5</v>
      </c>
      <c r="G25" s="24" t="n">
        <f aca="false">F25+G19</f>
        <v>206.85</v>
      </c>
    </row>
    <row r="26" customFormat="false" ht="15" hidden="false" customHeight="false" outlineLevel="0" collapsed="false">
      <c r="A26" s="12" t="s">
        <v>358</v>
      </c>
      <c r="B26" s="10" t="s">
        <v>41</v>
      </c>
      <c r="C26" s="24" t="n">
        <f aca="false">0+C19/2</f>
        <v>0</v>
      </c>
      <c r="D26" s="24" t="n">
        <f aca="false">C25+D19/2</f>
        <v>0</v>
      </c>
      <c r="E26" s="24" t="n">
        <f aca="false">D25+E19/2</f>
        <v>0</v>
      </c>
      <c r="F26" s="24" t="n">
        <f aca="false">E25+F19/2</f>
        <v>30.75</v>
      </c>
      <c r="G26" s="24" t="n">
        <f aca="false">F25+G19/2</f>
        <v>134.175</v>
      </c>
    </row>
    <row r="27" customFormat="false" ht="15" hidden="false" customHeight="false" outlineLevel="0" collapsed="false">
      <c r="A27" s="12" t="s">
        <v>42</v>
      </c>
      <c r="B27" s="10" t="s">
        <v>41</v>
      </c>
      <c r="C27" s="24" t="n">
        <f aca="false">C21+C23+C25</f>
        <v>0</v>
      </c>
      <c r="D27" s="24" t="n">
        <f aca="false">D21+D23+D25</f>
        <v>3</v>
      </c>
      <c r="E27" s="24" t="n">
        <f aca="false">E21+E23+E25</f>
        <v>45.5</v>
      </c>
      <c r="F27" s="24" t="n">
        <f aca="false">F21+F23+F25</f>
        <v>199.25</v>
      </c>
      <c r="G27" s="24" t="n">
        <f aca="false">G21+G23+G25</f>
        <v>562.625</v>
      </c>
    </row>
    <row r="28" customFormat="false" ht="15" hidden="false" customHeight="false" outlineLevel="0" collapsed="false">
      <c r="A28" s="10" t="s">
        <v>359</v>
      </c>
      <c r="B28" s="10" t="s">
        <v>39</v>
      </c>
      <c r="C28" s="14" t="n">
        <f aca="false">Inputs_Yearly!$E$49*Inputs!$E$73*Inputs!$E$74</f>
        <v>0</v>
      </c>
      <c r="D28" s="24" t="n">
        <f aca="false">(Inputs_Yearly!$F$49+Inputs_Yearly!$E$49)*Inputs!$E$73*Inputs!$E$74</f>
        <v>0</v>
      </c>
      <c r="E28" s="24" t="n">
        <f aca="false">(Inputs_Yearly!$G$49+Inputs_Yearly!$F$49)*Inputs!$E$73*Inputs!$E$74</f>
        <v>80</v>
      </c>
      <c r="F28" s="24" t="n">
        <f aca="false">(Inputs_Yearly!$H$49+Inputs_Yearly!$G$49)*Inputs!$E$73*Inputs!$E$74</f>
        <v>240</v>
      </c>
      <c r="G28" s="24" t="n">
        <f aca="false">(Inputs_Yearly!$I$49+Inputs_Yearly!$H$49)*Inputs!$E$73*Inputs!$E$74</f>
        <v>400</v>
      </c>
    </row>
    <row r="29" customFormat="false" ht="15" hidden="false" customHeight="false" outlineLevel="0" collapsed="false">
      <c r="A29" s="15" t="s">
        <v>360</v>
      </c>
      <c r="B29" s="16"/>
      <c r="C29" s="16"/>
      <c r="D29" s="16"/>
      <c r="E29" s="16"/>
      <c r="F29" s="16"/>
      <c r="G29" s="16"/>
      <c r="H29" s="16"/>
    </row>
    <row r="30" customFormat="false" ht="15" hidden="false" customHeight="false" outlineLevel="0" collapsed="false">
      <c r="A30" s="10" t="s">
        <v>361</v>
      </c>
      <c r="B30" s="12" t="s">
        <v>33</v>
      </c>
      <c r="C30" s="13" t="n">
        <f aca="false">Inputs_Yearly!$E$5</f>
        <v>1</v>
      </c>
      <c r="D30" s="13" t="n">
        <f aca="false">Inputs_Yearly!$F$5</f>
        <v>0.5</v>
      </c>
      <c r="E30" s="13" t="n">
        <f aca="false">Inputs_Yearly!$G$5</f>
        <v>1</v>
      </c>
      <c r="F30" s="13" t="n">
        <f aca="false">Inputs_Yearly!$H$5</f>
        <v>1</v>
      </c>
      <c r="G30" s="13" t="n">
        <f aca="false">Inputs_Yearly!$I$5</f>
        <v>1</v>
      </c>
    </row>
    <row r="31" customFormat="false" ht="15" hidden="false" customHeight="false" outlineLevel="0" collapsed="false">
      <c r="A31" s="12" t="s">
        <v>362</v>
      </c>
      <c r="B31" s="10" t="s">
        <v>138</v>
      </c>
      <c r="C31" s="14" t="n">
        <f aca="false">Inputs!$E$38*Inputs!$E$39+Inputs!$E$40*Inputs!$E$41+Inputs!$E$42*Inputs!$E$43</f>
        <v>36</v>
      </c>
      <c r="D31" s="14" t="n">
        <f aca="false">Inputs!$E$38*Inputs!$E$39+Inputs!$E$40*Inputs!$E$41+Inputs!$E$42*Inputs!$E$43</f>
        <v>36</v>
      </c>
      <c r="E31" s="14" t="n">
        <f aca="false">Inputs!$E$38*Inputs!$E$39+Inputs!$E$40*Inputs!$E$41+Inputs!$E$42*Inputs!$E$43</f>
        <v>36</v>
      </c>
      <c r="F31" s="14" t="n">
        <f aca="false">Inputs!$E$38*Inputs!$E$39+Inputs!$E$40*Inputs!$E$41+Inputs!$E$42*Inputs!$E$43</f>
        <v>36</v>
      </c>
      <c r="G31" s="14" t="n">
        <f aca="false">Inputs!$E$38*Inputs!$E$39+Inputs!$E$40*Inputs!$E$41+Inputs!$E$42*Inputs!$E$43</f>
        <v>36</v>
      </c>
    </row>
    <row r="32" customFormat="false" ht="15" hidden="false" customHeight="false" outlineLevel="0" collapsed="false">
      <c r="A32" s="12" t="s">
        <v>363</v>
      </c>
      <c r="B32" s="10" t="s">
        <v>138</v>
      </c>
      <c r="C32" s="14" t="n">
        <f aca="false">Inputs!$E$40*Inputs!$E$41+Inputs!$E$42*Inputs!$E$43</f>
        <v>18</v>
      </c>
      <c r="D32" s="14" t="n">
        <f aca="false">Inputs!$E$40*Inputs!$E$41+Inputs!$E$42*Inputs!$E$43</f>
        <v>18</v>
      </c>
      <c r="E32" s="14" t="n">
        <f aca="false">Inputs!$E$40*Inputs!$E$41+Inputs!$E$42*Inputs!$E$43</f>
        <v>18</v>
      </c>
      <c r="F32" s="14" t="n">
        <f aca="false">Inputs!$E$40*Inputs!$E$41+Inputs!$E$42*Inputs!$E$43</f>
        <v>18</v>
      </c>
      <c r="G32" s="14" t="n">
        <f aca="false">Inputs!$E$40*Inputs!$E$41+Inputs!$E$42*Inputs!$E$43</f>
        <v>18</v>
      </c>
    </row>
    <row r="33" customFormat="false" ht="15" hidden="false" customHeight="false" outlineLevel="0" collapsed="false">
      <c r="A33" s="12" t="s">
        <v>364</v>
      </c>
      <c r="B33" s="10" t="s">
        <v>138</v>
      </c>
      <c r="C33" s="14" t="n">
        <f aca="false">Inputs!$E$38*Inputs!$E$39</f>
        <v>18</v>
      </c>
      <c r="D33" s="14" t="n">
        <f aca="false">Inputs!$E$38*Inputs!$E$39</f>
        <v>18</v>
      </c>
      <c r="E33" s="14" t="n">
        <f aca="false">Inputs!$E$38*Inputs!$E$39</f>
        <v>18</v>
      </c>
      <c r="F33" s="14" t="n">
        <f aca="false">Inputs!$E$38*Inputs!$E$39</f>
        <v>18</v>
      </c>
      <c r="G33" s="14" t="n">
        <f aca="false">Inputs!$E$38*Inputs!$E$39</f>
        <v>18</v>
      </c>
    </row>
    <row r="34" customFormat="false" ht="15" hidden="false" customHeight="false" outlineLevel="0" collapsed="false">
      <c r="A34" s="12" t="s">
        <v>365</v>
      </c>
      <c r="B34" s="10" t="s">
        <v>178</v>
      </c>
      <c r="C34" s="24" t="n">
        <f aca="false">(C5+C6)*Inputs!$E$30*C30+C7*Inputs!$E$31</f>
        <v>0</v>
      </c>
      <c r="D34" s="24" t="n">
        <f aca="false">(D5+D6)*Inputs!$E$30*D30+D7*Inputs!$E$31</f>
        <v>675</v>
      </c>
      <c r="E34" s="24" t="n">
        <f aca="false">(E5+E6)*Inputs!$E$30*E30+E7*Inputs!$E$31</f>
        <v>22500</v>
      </c>
      <c r="F34" s="24" t="n">
        <f aca="false">(F5+F6)*Inputs!$E$30*F30+F7*Inputs!$E$31</f>
        <v>81000</v>
      </c>
      <c r="G34" s="24" t="n">
        <f aca="false">(G5+G6)*Inputs!$E$30*G30+G7*Inputs!$E$31</f>
        <v>197600</v>
      </c>
      <c r="H34" s="24" t="n">
        <f aca="false">SUM(C34:G34)</f>
        <v>301775</v>
      </c>
    </row>
    <row r="35" customFormat="false" ht="15" hidden="false" customHeight="false" outlineLevel="0" collapsed="false">
      <c r="A35" s="12" t="s">
        <v>366</v>
      </c>
      <c r="B35" s="10" t="s">
        <v>178</v>
      </c>
      <c r="C35" s="24" t="n">
        <f aca="false">C13*Inputs!$E$33*C30</f>
        <v>0</v>
      </c>
      <c r="D35" s="24" t="n">
        <f aca="false">D13*Inputs!$E$33*D30</f>
        <v>120</v>
      </c>
      <c r="E35" s="24" t="n">
        <f aca="false">E13*Inputs!$E$33*E30</f>
        <v>3400</v>
      </c>
      <c r="F35" s="24" t="n">
        <f aca="false">F13*Inputs!$E$33*F30</f>
        <v>12300</v>
      </c>
      <c r="G35" s="24" t="n">
        <f aca="false">G13*Inputs!$E$33*G30</f>
        <v>29070</v>
      </c>
      <c r="H35" s="24" t="n">
        <f aca="false">SUM(C35:G35)</f>
        <v>44890</v>
      </c>
    </row>
    <row r="36" customFormat="false" ht="15" hidden="false" customHeight="false" outlineLevel="0" collapsed="false">
      <c r="A36" s="12" t="s">
        <v>367</v>
      </c>
      <c r="B36" s="10" t="s">
        <v>178</v>
      </c>
      <c r="C36" s="24" t="n">
        <f aca="false">C17*Inputs!$E$32*C30+C19*Inputs!$E$32*Inputs!$E$50</f>
        <v>0</v>
      </c>
      <c r="D36" s="24" t="n">
        <f aca="false">D17*Inputs!$E$32*D30+D19*Inputs!$E$32*Inputs!$E$50</f>
        <v>1564.5</v>
      </c>
      <c r="E36" s="24" t="n">
        <f aca="false">E17*Inputs!$E$32*E30+E19*Inputs!$E$32*Inputs!$E$50</f>
        <v>44327.5</v>
      </c>
      <c r="F36" s="24" t="n">
        <f aca="false">F17*Inputs!$E$32*F30+F19*Inputs!$E$32*Inputs!$E$50</f>
        <v>218091.3</v>
      </c>
      <c r="G36" s="24" t="n">
        <f aca="false">G17*Inputs!$E$32*G30+G19*Inputs!$E$32*Inputs!$E$50</f>
        <v>515440.17</v>
      </c>
      <c r="H36" s="24" t="n">
        <f aca="false">SUM(C36:G36)</f>
        <v>779423.47</v>
      </c>
    </row>
    <row r="37" customFormat="false" ht="15" hidden="false" customHeight="false" outlineLevel="0" collapsed="false">
      <c r="A37" s="12" t="s">
        <v>368</v>
      </c>
      <c r="B37" s="10" t="s">
        <v>178</v>
      </c>
      <c r="C37" s="24" t="n">
        <f aca="false">C24*Inputs!$E$34*12</f>
        <v>0</v>
      </c>
      <c r="D37" s="24" t="n">
        <f aca="false">D24*Inputs!$E$34*12</f>
        <v>178.2</v>
      </c>
      <c r="E37" s="24" t="n">
        <f aca="false">E24*Inputs!$E$34*12</f>
        <v>2880.9</v>
      </c>
      <c r="F37" s="24" t="n">
        <f aca="false">F24*Inputs!$E$34*12</f>
        <v>5405.4</v>
      </c>
      <c r="G37" s="24" t="n">
        <f aca="false">G24*Inputs!$E$34*12</f>
        <v>5405.4</v>
      </c>
      <c r="H37" s="24" t="n">
        <f aca="false">SUM(C37:G37)</f>
        <v>13869.9</v>
      </c>
    </row>
    <row r="38" customFormat="false" ht="15" hidden="false" customHeight="false" outlineLevel="0" collapsed="false">
      <c r="A38" s="12" t="s">
        <v>369</v>
      </c>
      <c r="B38" s="10" t="s">
        <v>178</v>
      </c>
      <c r="C38" s="24" t="n">
        <f aca="false">C22*Inputs!$E$45*Inputs!$E$36+C26*Inputs!$E$51*12</f>
        <v>0</v>
      </c>
      <c r="D38" s="24" t="n">
        <f aca="false">D22*Inputs!$E$45*Inputs!$E$36+D26*Inputs!$E$51*12</f>
        <v>35.28</v>
      </c>
      <c r="E38" s="24" t="n">
        <f aca="false">E22*Inputs!$E$45*Inputs!$E$36+E26*Inputs!$E$51*12</f>
        <v>570.36</v>
      </c>
      <c r="F38" s="24" t="n">
        <f aca="false">F22*Inputs!$E$45*Inputs!$E$36+F26*Inputs!$E$51*12</f>
        <v>4833.96</v>
      </c>
      <c r="G38" s="24" t="n">
        <f aca="false">G22*Inputs!$E$45*Inputs!$E$36+G26*Inputs!$E$51*12</f>
        <v>17493.18</v>
      </c>
      <c r="H38" s="24" t="n">
        <f aca="false">SUM(C38:G38)</f>
        <v>22932.78</v>
      </c>
    </row>
    <row r="39" customFormat="false" ht="15" hidden="false" customHeight="false" outlineLevel="0" collapsed="false">
      <c r="A39" s="12" t="s">
        <v>370</v>
      </c>
      <c r="B39" s="10" t="s">
        <v>178</v>
      </c>
      <c r="C39" s="24" t="n">
        <f aca="false">C22*Inputs!$E$44*C31+(C24+C26)*Inputs!$E$44*C32</f>
        <v>0</v>
      </c>
      <c r="D39" s="24" t="n">
        <f aca="false">D22*Inputs!$E$44*D31+(D24+D26)*Inputs!$E$44*D32</f>
        <v>32.13</v>
      </c>
      <c r="E39" s="24" t="n">
        <f aca="false">E22*Inputs!$E$44*E31+(E24+E26)*Inputs!$E$44*E32</f>
        <v>519.435</v>
      </c>
      <c r="F39" s="24" t="n">
        <f aca="false">F22*Inputs!$E$44*F31+(F24+F26)*Inputs!$E$44*F32</f>
        <v>2524.41</v>
      </c>
      <c r="G39" s="24" t="n">
        <f aca="false">G22*Inputs!$E$44*G31+(G24+G26)*Inputs!$E$44*G32</f>
        <v>7737.03</v>
      </c>
      <c r="H39" s="24" t="n">
        <f aca="false">SUM(C39:G39)</f>
        <v>10813.005</v>
      </c>
    </row>
    <row r="40" customFormat="false" ht="15" hidden="false" customHeight="false" outlineLevel="0" collapsed="false">
      <c r="A40" s="12" t="s">
        <v>371</v>
      </c>
      <c r="B40" s="10" t="s">
        <v>178</v>
      </c>
      <c r="C40" s="24" t="n">
        <f aca="false">0*Inputs!$E$47*Inputs!$E$46+0*Inputs!$E$49*Inputs!$E$48</f>
        <v>0</v>
      </c>
      <c r="D40" s="24" t="n">
        <f aca="false">C13*Inputs!$E$47*Inputs!$E$46+0*Inputs!$E$49*Inputs!$E$48</f>
        <v>0</v>
      </c>
      <c r="E40" s="24" t="n">
        <f aca="false">D13*Inputs!$E$47*Inputs!$E$46+C13*Inputs!$E$49*Inputs!$E$48</f>
        <v>36</v>
      </c>
      <c r="F40" s="24" t="n">
        <f aca="false">E13*Inputs!$E$47*Inputs!$E$46+D13*Inputs!$E$49*Inputs!$E$48</f>
        <v>570</v>
      </c>
      <c r="G40" s="24" t="n">
        <f aca="false">F13*Inputs!$E$47*Inputs!$E$46+E13*Inputs!$E$49*Inputs!$E$48</f>
        <v>2695</v>
      </c>
      <c r="H40" s="24" t="n">
        <f aca="false">SUM(C40:G40)</f>
        <v>3301</v>
      </c>
    </row>
    <row r="41" customFormat="false" ht="15" hidden="false" customHeight="false" outlineLevel="0" collapsed="false">
      <c r="A41" s="25" t="s">
        <v>372</v>
      </c>
      <c r="B41" s="10" t="s">
        <v>178</v>
      </c>
      <c r="C41" s="24" t="n">
        <f aca="false">SUM(C34:C40)</f>
        <v>0</v>
      </c>
      <c r="D41" s="24" t="n">
        <f aca="false">SUM(D34:D40)</f>
        <v>2605.11</v>
      </c>
      <c r="E41" s="24" t="n">
        <f aca="false">SUM(E34:E40)</f>
        <v>74234.195</v>
      </c>
      <c r="F41" s="24" t="n">
        <f aca="false">SUM(F34:F40)</f>
        <v>324725.07</v>
      </c>
      <c r="G41" s="24" t="n">
        <f aca="false">SUM(G34:G40)</f>
        <v>775440.78</v>
      </c>
      <c r="H41" s="24" t="n">
        <f aca="false">SUM(C41:G41)</f>
        <v>1177005.155</v>
      </c>
    </row>
    <row r="42" customFormat="false" ht="15" hidden="false" customHeight="false" outlineLevel="0" collapsed="false">
      <c r="A42" s="15" t="s">
        <v>373</v>
      </c>
      <c r="B42" s="16"/>
      <c r="C42" s="16"/>
      <c r="D42" s="16"/>
      <c r="E42" s="16"/>
      <c r="F42" s="16"/>
      <c r="G42" s="16"/>
      <c r="H42" s="16"/>
    </row>
    <row r="43" customFormat="false" ht="15" hidden="false" customHeight="false" outlineLevel="0" collapsed="false">
      <c r="A43" s="12" t="s">
        <v>282</v>
      </c>
      <c r="B43" s="12" t="s">
        <v>33</v>
      </c>
      <c r="C43" s="13" t="n">
        <f aca="false">Inputs_Yearly!$E$9</f>
        <v>0.4</v>
      </c>
      <c r="D43" s="13" t="n">
        <f aca="false">Inputs_Yearly!$F$9</f>
        <v>0.5</v>
      </c>
      <c r="E43" s="13" t="n">
        <f aca="false">Inputs_Yearly!$G$9</f>
        <v>0.65</v>
      </c>
      <c r="F43" s="13" t="n">
        <f aca="false">Inputs_Yearly!$H$9</f>
        <v>0.75</v>
      </c>
      <c r="G43" s="13" t="n">
        <f aca="false">Inputs_Yearly!$I$9</f>
        <v>0.8</v>
      </c>
    </row>
    <row r="44" customFormat="false" ht="15" hidden="false" customHeight="false" outlineLevel="0" collapsed="false">
      <c r="A44" s="12" t="s">
        <v>374</v>
      </c>
      <c r="B44" s="10" t="s">
        <v>178</v>
      </c>
      <c r="C44" s="14" t="n">
        <f aca="false">Inputs!$E$53*(C43+Inputs!$E$54*(1-C43))+Inputs!$E$55*(1-C43)</f>
        <v>332</v>
      </c>
      <c r="D44" s="14" t="n">
        <f aca="false">Inputs!$E$53*(D43+Inputs!$E$54*(1-D43))+Inputs!$E$55*(1-D43)</f>
        <v>310</v>
      </c>
      <c r="E44" s="14" t="n">
        <f aca="false">Inputs!$E$53*(E43+Inputs!$E$54*(1-E43))+Inputs!$E$55*(1-E43)</f>
        <v>277</v>
      </c>
      <c r="F44" s="14" t="n">
        <f aca="false">Inputs!$E$53*(F43+Inputs!$E$54*(1-F43))+Inputs!$E$55*(1-F43)</f>
        <v>255</v>
      </c>
      <c r="G44" s="14" t="n">
        <f aca="false">Inputs!$E$53*(G43+Inputs!$E$54*(1-G43))+Inputs!$E$55*(1-G43)</f>
        <v>244</v>
      </c>
    </row>
    <row r="45" customFormat="false" ht="15" hidden="false" customHeight="false" outlineLevel="0" collapsed="false">
      <c r="A45" s="12" t="s">
        <v>375</v>
      </c>
      <c r="B45" s="10" t="s">
        <v>178</v>
      </c>
      <c r="C45" s="14" t="n">
        <f aca="false">Inputs_Yearly!$E$13</f>
        <v>1600</v>
      </c>
      <c r="D45" s="14" t="n">
        <f aca="false">Inputs_Yearly!$F$13</f>
        <v>1450</v>
      </c>
      <c r="E45" s="14" t="n">
        <f aca="false">Inputs_Yearly!$G$13</f>
        <v>1150</v>
      </c>
      <c r="F45" s="14" t="n">
        <f aca="false">Inputs_Yearly!$H$13</f>
        <v>1000</v>
      </c>
      <c r="G45" s="14" t="n">
        <f aca="false">Inputs_Yearly!$I$13</f>
        <v>900</v>
      </c>
    </row>
    <row r="46" customFormat="false" ht="15" hidden="false" customHeight="false" outlineLevel="0" collapsed="false">
      <c r="A46" s="12" t="s">
        <v>376</v>
      </c>
      <c r="B46" s="10" t="s">
        <v>178</v>
      </c>
      <c r="C46" s="14" t="n">
        <f aca="false">Inputs_Yearly!$E$21*Inputs_Yearly!$E$25+Inputs!$E$59*Inputs!$E$60+Inputs!$E$61</f>
        <v>44.8</v>
      </c>
      <c r="D46" s="14" t="n">
        <f aca="false">Inputs_Yearly!$F$21*Inputs_Yearly!$F$25+Inputs!$E$59*Inputs!$E$60+Inputs!$E$61</f>
        <v>40.8</v>
      </c>
      <c r="E46" s="14" t="n">
        <f aca="false">Inputs_Yearly!$G$21*Inputs_Yearly!$G$25+Inputs!$E$59*Inputs!$E$60+Inputs!$E$61</f>
        <v>36.8</v>
      </c>
      <c r="F46" s="14" t="n">
        <f aca="false">Inputs_Yearly!$H$21*Inputs_Yearly!$H$25+Inputs!$E$59*Inputs!$E$60+Inputs!$E$61</f>
        <v>28.3</v>
      </c>
      <c r="G46" s="14" t="n">
        <f aca="false">Inputs_Yearly!$I$21*Inputs_Yearly!$I$25+Inputs!$E$59*Inputs!$E$60+Inputs!$E$61</f>
        <v>26.8</v>
      </c>
    </row>
    <row r="47" customFormat="false" ht="15" hidden="false" customHeight="false" outlineLevel="0" collapsed="false">
      <c r="A47" s="12" t="s">
        <v>377</v>
      </c>
      <c r="B47" s="10" t="s">
        <v>178</v>
      </c>
      <c r="C47" s="24" t="n">
        <f aca="false">(C5+C6)*C44+C7*Inputs!$E$56</f>
        <v>0</v>
      </c>
      <c r="D47" s="24" t="n">
        <f aca="false">(D5+D6)*D44+D7*Inputs!$E$56</f>
        <v>930</v>
      </c>
      <c r="E47" s="24" t="n">
        <f aca="false">(E5+E6)*E44+E7*Inputs!$E$56</f>
        <v>13850</v>
      </c>
      <c r="F47" s="24" t="n">
        <f aca="false">(F5+F6)*F44+F7*Inputs!$E$56</f>
        <v>45900</v>
      </c>
      <c r="G47" s="24" t="n">
        <f aca="false">(G5+G6)*G44+G7*Inputs!$E$56</f>
        <v>108000</v>
      </c>
      <c r="H47" s="24" t="n">
        <f aca="false">SUM(C47:G47)</f>
        <v>168680</v>
      </c>
    </row>
    <row r="48" customFormat="false" ht="15" hidden="false" customHeight="false" outlineLevel="0" collapsed="false">
      <c r="A48" s="10" t="s">
        <v>378</v>
      </c>
      <c r="B48" s="10" t="s">
        <v>178</v>
      </c>
      <c r="C48" s="24" t="n">
        <f aca="false">(C5+C6+C7)*Inputs!$E$57</f>
        <v>0</v>
      </c>
      <c r="D48" s="24" t="n">
        <f aca="false">(D5+D6+D7)*Inputs!$E$57</f>
        <v>75</v>
      </c>
      <c r="E48" s="24" t="n">
        <f aca="false">(E5+E6+E7)*Inputs!$E$57</f>
        <v>1250</v>
      </c>
      <c r="F48" s="24" t="n">
        <f aca="false">(F5+F6+F7)*Inputs!$E$57</f>
        <v>4500</v>
      </c>
      <c r="G48" s="24" t="n">
        <f aca="false">(G5+G6+G7)*Inputs!$E$57</f>
        <v>12000</v>
      </c>
      <c r="H48" s="24" t="n">
        <f aca="false">SUM(C48:G48)</f>
        <v>17825</v>
      </c>
    </row>
    <row r="49" customFormat="false" ht="15" hidden="false" customHeight="false" outlineLevel="0" collapsed="false">
      <c r="A49" s="12" t="s">
        <v>379</v>
      </c>
      <c r="B49" s="10" t="s">
        <v>178</v>
      </c>
      <c r="C49" s="24" t="n">
        <f aca="false">(C17+C19)*C45</f>
        <v>0</v>
      </c>
      <c r="D49" s="24" t="n">
        <f aca="false">(D17+D19)*D45</f>
        <v>3045</v>
      </c>
      <c r="E49" s="24" t="n">
        <f aca="false">(E17+E19)*E45</f>
        <v>34212.5</v>
      </c>
      <c r="F49" s="24" t="n">
        <f aca="false">(F17+F19)*F45</f>
        <v>153750</v>
      </c>
      <c r="G49" s="24" t="n">
        <f aca="false">(G17+G19)*G45</f>
        <v>327037.5</v>
      </c>
      <c r="H49" s="24" t="n">
        <f aca="false">SUM(C49:G49)</f>
        <v>518045</v>
      </c>
    </row>
    <row r="50" customFormat="false" ht="15" hidden="false" customHeight="false" outlineLevel="0" collapsed="false">
      <c r="A50" s="10" t="s">
        <v>380</v>
      </c>
      <c r="B50" s="10" t="s">
        <v>178</v>
      </c>
      <c r="C50" s="24" t="n">
        <f aca="false">C13*Inputs_Yearly!$E$17</f>
        <v>0</v>
      </c>
      <c r="D50" s="24" t="n">
        <f aca="false">D13*Inputs_Yearly!$F$17</f>
        <v>270</v>
      </c>
      <c r="E50" s="24" t="n">
        <f aca="false">E13*Inputs_Yearly!$G$17</f>
        <v>2550</v>
      </c>
      <c r="F50" s="24" t="n">
        <f aca="false">F13*Inputs_Yearly!$H$17</f>
        <v>6918.75</v>
      </c>
      <c r="G50" s="24" t="n">
        <f aca="false">G13*Inputs_Yearly!$I$17</f>
        <v>13808.25</v>
      </c>
      <c r="H50" s="24" t="n">
        <f aca="false">SUM(C50:G50)</f>
        <v>23547</v>
      </c>
    </row>
    <row r="51" customFormat="false" ht="15" hidden="false" customHeight="false" outlineLevel="0" collapsed="false">
      <c r="A51" s="12" t="s">
        <v>381</v>
      </c>
      <c r="B51" s="10" t="s">
        <v>178</v>
      </c>
      <c r="C51" s="14" t="n">
        <f aca="false">Inputs!$E$58*C36</f>
        <v>0</v>
      </c>
      <c r="D51" s="14" t="n">
        <f aca="false">Inputs!$E$58*D36</f>
        <v>62.58</v>
      </c>
      <c r="E51" s="14" t="n">
        <f aca="false">Inputs!$E$58*E36</f>
        <v>1773.1</v>
      </c>
      <c r="F51" s="14" t="n">
        <f aca="false">Inputs!$E$58*F36</f>
        <v>8723.652</v>
      </c>
      <c r="G51" s="14" t="n">
        <f aca="false">Inputs!$E$58*G36</f>
        <v>20617.6068</v>
      </c>
      <c r="H51" s="24" t="n">
        <f aca="false">SUM(C51:G51)</f>
        <v>31176.9388</v>
      </c>
    </row>
    <row r="52" customFormat="false" ht="15" hidden="false" customHeight="false" outlineLevel="0" collapsed="false">
      <c r="A52" s="12" t="s">
        <v>382</v>
      </c>
      <c r="B52" s="10" t="s">
        <v>178</v>
      </c>
      <c r="C52" s="24" t="n">
        <f aca="false">C18*C45</f>
        <v>0</v>
      </c>
      <c r="D52" s="24" t="n">
        <f aca="false">D18*D45</f>
        <v>1305</v>
      </c>
      <c r="E52" s="24" t="n">
        <f aca="false">E18*E45</f>
        <v>14662.5</v>
      </c>
      <c r="F52" s="24" t="n">
        <f aca="false">F18*F45</f>
        <v>0</v>
      </c>
      <c r="G52" s="24" t="n">
        <f aca="false">G18*G45</f>
        <v>0</v>
      </c>
      <c r="H52" s="24" t="n">
        <f aca="false">SUM(C52:G52)</f>
        <v>15967.5</v>
      </c>
    </row>
    <row r="53" customFormat="false" ht="15" hidden="false" customHeight="false" outlineLevel="0" collapsed="false">
      <c r="A53" s="12" t="s">
        <v>383</v>
      </c>
      <c r="B53" s="10" t="s">
        <v>178</v>
      </c>
      <c r="C53" s="24" t="n">
        <f aca="false">0+C52</f>
        <v>0</v>
      </c>
      <c r="D53" s="24" t="n">
        <f aca="false">C53+D52</f>
        <v>1305</v>
      </c>
      <c r="E53" s="24" t="n">
        <f aca="false">D53+E52</f>
        <v>15967.5</v>
      </c>
      <c r="F53" s="24" t="n">
        <f aca="false">E53+F52</f>
        <v>15967.5</v>
      </c>
      <c r="G53" s="24" t="n">
        <f aca="false">F53+G52</f>
        <v>15967.5</v>
      </c>
    </row>
    <row r="54" customFormat="false" ht="15" hidden="false" customHeight="false" outlineLevel="0" collapsed="false">
      <c r="A54" s="12" t="s">
        <v>384</v>
      </c>
      <c r="B54" s="10" t="s">
        <v>178</v>
      </c>
      <c r="C54" s="24" t="n">
        <f aca="false">0*(1-Inputs!$E$68)/5+C52*(1-Inputs!$E$68)/5*0.5</f>
        <v>0</v>
      </c>
      <c r="D54" s="24" t="n">
        <f aca="false">C53*(1-Inputs!$E$68)/5+D52*(1-Inputs!$E$68)/5*0.5</f>
        <v>110.925</v>
      </c>
      <c r="E54" s="24" t="n">
        <f aca="false">D53*(1-Inputs!$E$68)/5+E52*(1-Inputs!$E$68)/5*0.5</f>
        <v>1468.1625</v>
      </c>
      <c r="F54" s="24" t="n">
        <f aca="false">E53*(1-Inputs!$E$68)/5+F52*(1-Inputs!$E$68)/5*0.5</f>
        <v>2714.475</v>
      </c>
      <c r="G54" s="24" t="n">
        <f aca="false">F53*(1-Inputs!$E$68)/5+G52*(1-Inputs!$E$68)/5*0.5</f>
        <v>2714.475</v>
      </c>
      <c r="H54" s="24" t="n">
        <f aca="false">SUM(C54:G54)</f>
        <v>7008.0375</v>
      </c>
    </row>
    <row r="55" customFormat="false" ht="15" hidden="false" customHeight="false" outlineLevel="0" collapsed="false">
      <c r="A55" s="12" t="s">
        <v>385</v>
      </c>
      <c r="B55" s="10" t="s">
        <v>178</v>
      </c>
      <c r="C55" s="24" t="n">
        <f aca="false">(C22*Inputs!$E$45+C24+C26)*C46</f>
        <v>0</v>
      </c>
      <c r="D55" s="24" t="n">
        <f aca="false">(D22*Inputs!$E$45+D24+D26)*D46</f>
        <v>48.348</v>
      </c>
      <c r="E55" s="24" t="n">
        <f aca="false">(E22*Inputs!$E$45+E24+E26)*E46</f>
        <v>704.996</v>
      </c>
      <c r="F55" s="24" t="n">
        <f aca="false">(F22*Inputs!$E$45+F24+F26)*F46</f>
        <v>2801.20475</v>
      </c>
      <c r="G55" s="24" t="n">
        <f aca="false">(G22*Inputs!$E$45+G24+G26)*G46</f>
        <v>8334.9005</v>
      </c>
      <c r="H55" s="24" t="n">
        <f aca="false">SUM(C55:G55)</f>
        <v>11889.44925</v>
      </c>
    </row>
    <row r="56" customFormat="false" ht="15" hidden="false" customHeight="false" outlineLevel="0" collapsed="false">
      <c r="A56" s="12" t="s">
        <v>386</v>
      </c>
      <c r="B56" s="10" t="s">
        <v>178</v>
      </c>
      <c r="C56" s="24" t="n">
        <f aca="false">C39*Inputs!$E$62+(C24+C26)*C33*Inputs!$E$62</f>
        <v>0</v>
      </c>
      <c r="D56" s="24" t="n">
        <f aca="false">D39*Inputs!$E$62+(D24+D26)*D33*Inputs!$E$62</f>
        <v>14.0805</v>
      </c>
      <c r="E56" s="24" t="n">
        <f aca="false">E39*Inputs!$E$62+(E24+E26)*E33*Inputs!$E$62</f>
        <v>227.63475</v>
      </c>
      <c r="F56" s="24" t="n">
        <f aca="false">F39*Inputs!$E$62+(F24+F26)*F33*Inputs!$E$62</f>
        <v>1163.2635</v>
      </c>
      <c r="G56" s="24" t="n">
        <f aca="false">G39*Inputs!$E$62+(G24+G26)*G33*Inputs!$E$62</f>
        <v>3639.258</v>
      </c>
      <c r="H56" s="24" t="n">
        <f aca="false">SUM(C56:G56)</f>
        <v>5044.23675</v>
      </c>
    </row>
    <row r="57" customFormat="false" ht="15" hidden="false" customHeight="false" outlineLevel="0" collapsed="false">
      <c r="A57" s="12" t="s">
        <v>387</v>
      </c>
      <c r="B57" s="10" t="s">
        <v>178</v>
      </c>
      <c r="C57" s="24" t="n">
        <f aca="false">0*Inputs!$E$47*Inputs!$E$46*Inputs!$E$63+0*Inputs!$E$49*Inputs!$E$48*Inputs!$E$64</f>
        <v>0</v>
      </c>
      <c r="D57" s="24" t="n">
        <f aca="false">C13*Inputs!$E$47*Inputs!$E$46*Inputs!$E$63+0*Inputs!$E$49*Inputs!$E$48*Inputs!$E$64</f>
        <v>0</v>
      </c>
      <c r="E57" s="24" t="n">
        <f aca="false">D13*Inputs!$E$47*Inputs!$E$46*Inputs!$E$63+C13*Inputs!$E$49*Inputs!$E$48*Inputs!$E$64</f>
        <v>3.6</v>
      </c>
      <c r="F57" s="24" t="n">
        <f aca="false">E13*Inputs!$E$47*Inputs!$E$46*Inputs!$E$63+D13*Inputs!$E$49*Inputs!$E$48*Inputs!$E$64</f>
        <v>78</v>
      </c>
      <c r="G57" s="24" t="n">
        <f aca="false">F13*Inputs!$E$47*Inputs!$E$46*Inputs!$E$63+E13*Inputs!$E$49*Inputs!$E$48*Inputs!$E$64</f>
        <v>567</v>
      </c>
      <c r="H57" s="24" t="n">
        <f aca="false">SUM(C57:G57)</f>
        <v>648.6</v>
      </c>
    </row>
    <row r="58" customFormat="false" ht="15" hidden="false" customHeight="false" outlineLevel="0" collapsed="false">
      <c r="A58" s="12" t="s">
        <v>388</v>
      </c>
      <c r="B58" s="10" t="s">
        <v>178</v>
      </c>
      <c r="C58" s="24" t="n">
        <f aca="false">C47+C48+C49+C50+C51+C54+C55+C56+C57</f>
        <v>0</v>
      </c>
      <c r="D58" s="24" t="n">
        <f aca="false">D47+D48+D49+D50+D51+D54+D55+D56+D57</f>
        <v>4555.9335</v>
      </c>
      <c r="E58" s="24" t="n">
        <f aca="false">E47+E48+E49+E50+E51+E54+E55+E56+E57</f>
        <v>56039.99325</v>
      </c>
      <c r="F58" s="24" t="n">
        <f aca="false">F47+F48+F49+F50+F51+F54+F55+F56+F57</f>
        <v>226549.34525</v>
      </c>
      <c r="G58" s="24" t="n">
        <f aca="false">G47+G48+G49+G50+G51+G54+G55+G56+G57</f>
        <v>496718.9903</v>
      </c>
      <c r="H58" s="24" t="n">
        <f aca="false">SUM(C58:G58)</f>
        <v>783864.2623</v>
      </c>
    </row>
    <row r="59" customFormat="false" ht="15" hidden="false" customHeight="false" outlineLevel="0" collapsed="false">
      <c r="A59" s="25" t="s">
        <v>31</v>
      </c>
      <c r="B59" s="10" t="s">
        <v>178</v>
      </c>
      <c r="C59" s="24" t="n">
        <f aca="false">C41-C58</f>
        <v>0</v>
      </c>
      <c r="D59" s="24" t="n">
        <f aca="false">D41-D58</f>
        <v>-1950.8235</v>
      </c>
      <c r="E59" s="24" t="n">
        <f aca="false">E41-E58</f>
        <v>18194.20175</v>
      </c>
      <c r="F59" s="24" t="n">
        <f aca="false">F41-F58</f>
        <v>98175.72475</v>
      </c>
      <c r="G59" s="24" t="n">
        <f aca="false">G41-G58</f>
        <v>278721.7897</v>
      </c>
      <c r="H59" s="24" t="n">
        <f aca="false">SUM(C59:G59)</f>
        <v>393140.8927</v>
      </c>
    </row>
    <row r="60" customFormat="false" ht="15" hidden="false" customHeight="false" outlineLevel="0" collapsed="false">
      <c r="A60" s="10" t="s">
        <v>32</v>
      </c>
      <c r="B60" s="12" t="s">
        <v>33</v>
      </c>
      <c r="C60" s="26" t="n">
        <f aca="false">IF(C41=0,0,C59/C41)</f>
        <v>0</v>
      </c>
      <c r="D60" s="26" t="n">
        <f aca="false">IF(D41=0,0,D59/D41)</f>
        <v>-0.74884496240082</v>
      </c>
      <c r="E60" s="26" t="n">
        <f aca="false">IF(E41=0,0,E59/E41)</f>
        <v>0.245091924954531</v>
      </c>
      <c r="F60" s="26" t="n">
        <f aca="false">IF(F41=0,0,F59/F41)</f>
        <v>0.302334909805393</v>
      </c>
      <c r="G60" s="26" t="n">
        <f aca="false">IF(G41=0,0,G59/G41)</f>
        <v>0.359436589986923</v>
      </c>
    </row>
    <row r="61" customFormat="false" ht="15" hidden="false" customHeight="false" outlineLevel="0" collapsed="false">
      <c r="A61" s="15" t="s">
        <v>389</v>
      </c>
      <c r="B61" s="16"/>
      <c r="C61" s="16"/>
      <c r="D61" s="16"/>
      <c r="E61" s="16"/>
      <c r="F61" s="16"/>
      <c r="G61" s="16"/>
      <c r="H61" s="16"/>
    </row>
    <row r="62" customFormat="false" ht="15" hidden="false" customHeight="false" outlineLevel="0" collapsed="false">
      <c r="A62" s="12" t="s">
        <v>390</v>
      </c>
      <c r="B62" s="10" t="s">
        <v>178</v>
      </c>
      <c r="C62" s="14" t="n">
        <f aca="false">Inputs!$E$65*C6*(Inputs!$E$30*C30+C9*(Inputs!$E$32+Inputs!$E$33)*C30)</f>
        <v>0</v>
      </c>
      <c r="D62" s="14" t="n">
        <f aca="false">Inputs!$E$65*D6*(Inputs!$E$30*D30+D9*(Inputs!$E$32+Inputs!$E$33)*D30)</f>
        <v>0</v>
      </c>
      <c r="E62" s="14" t="n">
        <f aca="false">Inputs!$E$65*E6*(Inputs!$E$30*E30+E9*(Inputs!$E$32+Inputs!$E$33)*E30)</f>
        <v>3569</v>
      </c>
      <c r="F62" s="14" t="n">
        <f aca="false">Inputs!$E$65*F6*(Inputs!$E$30*F30+F9*(Inputs!$E$32+Inputs!$E$33)*F30)</f>
        <v>23198.5</v>
      </c>
      <c r="G62" s="14" t="n">
        <f aca="false">Inputs!$E$65*G6*(Inputs!$E$30*G30+G9*(Inputs!$E$32+Inputs!$E$33)*G30)</f>
        <v>60673</v>
      </c>
      <c r="H62" s="24" t="n">
        <f aca="false">SUM(C62:G62)</f>
        <v>87440.5</v>
      </c>
    </row>
    <row r="63" customFormat="false" ht="15" hidden="false" customHeight="false" outlineLevel="0" collapsed="false">
      <c r="A63" s="10" t="s">
        <v>391</v>
      </c>
      <c r="B63" s="10" t="s">
        <v>178</v>
      </c>
      <c r="C63" s="24" t="n">
        <f aca="false">C5*Inputs!$E$66</f>
        <v>0</v>
      </c>
      <c r="D63" s="24" t="n">
        <f aca="false">D5*Inputs!$E$66</f>
        <v>450</v>
      </c>
      <c r="E63" s="24" t="n">
        <f aca="false">E5*Inputs!$E$66</f>
        <v>4500</v>
      </c>
      <c r="F63" s="24" t="n">
        <f aca="false">F5*Inputs!$E$66</f>
        <v>7500</v>
      </c>
      <c r="G63" s="24" t="n">
        <f aca="false">G5*Inputs!$E$66</f>
        <v>9000</v>
      </c>
      <c r="H63" s="24" t="n">
        <f aca="false">SUM(C63:G63)</f>
        <v>21450</v>
      </c>
    </row>
    <row r="64" customFormat="false" ht="15" hidden="false" customHeight="false" outlineLevel="0" collapsed="false">
      <c r="A64" s="10" t="s">
        <v>392</v>
      </c>
      <c r="B64" s="10" t="s">
        <v>178</v>
      </c>
      <c r="C64" s="14" t="n">
        <f aca="false">Inputs_Yearly!$E$49*Inputs!$E$67</f>
        <v>0</v>
      </c>
      <c r="D64" s="14" t="n">
        <f aca="false">Inputs_Yearly!$F$49*Inputs!$E$67</f>
        <v>0</v>
      </c>
      <c r="E64" s="14" t="n">
        <f aca="false">Inputs_Yearly!$G$49*Inputs!$E$67</f>
        <v>2000</v>
      </c>
      <c r="F64" s="14" t="n">
        <f aca="false">Inputs_Yearly!$H$49*Inputs!$E$67</f>
        <v>4000</v>
      </c>
      <c r="G64" s="14" t="n">
        <f aca="false">Inputs_Yearly!$I$49*Inputs!$E$67</f>
        <v>6000</v>
      </c>
      <c r="H64" s="24" t="n">
        <f aca="false">SUM(C64:G64)</f>
        <v>12000</v>
      </c>
    </row>
    <row r="65" customFormat="false" ht="15" hidden="false" customHeight="false" outlineLevel="0" collapsed="false">
      <c r="A65" s="18" t="s">
        <v>393</v>
      </c>
      <c r="B65" s="10" t="s">
        <v>178</v>
      </c>
      <c r="C65" s="24" t="n">
        <f aca="false">C59-C62-C63-C64</f>
        <v>0</v>
      </c>
      <c r="D65" s="24" t="n">
        <f aca="false">D59-D62-D63-D64</f>
        <v>-2400.8235</v>
      </c>
      <c r="E65" s="24" t="n">
        <f aca="false">E59-E62-E63-E64</f>
        <v>8125.20175000002</v>
      </c>
      <c r="F65" s="24" t="n">
        <f aca="false">F59-F62-F63-F64</f>
        <v>63477.22475</v>
      </c>
      <c r="G65" s="24" t="n">
        <f aca="false">G59-G62-G63-G64</f>
        <v>203048.7897</v>
      </c>
      <c r="H65" s="24" t="n">
        <f aca="false">SUM(C65:G65)</f>
        <v>272250.3927</v>
      </c>
    </row>
    <row r="66" customFormat="false" ht="15" hidden="false" customHeight="false" outlineLevel="0" collapsed="false">
      <c r="A66" s="10" t="s">
        <v>394</v>
      </c>
      <c r="B66" s="10" t="s">
        <v>178</v>
      </c>
      <c r="C66" s="14" t="n">
        <f aca="false">Inputs_Yearly!$E$53*Inputs!$E$77</f>
        <v>37400</v>
      </c>
      <c r="D66" s="14" t="n">
        <f aca="false">Inputs_Yearly!$F$53*Inputs!$E$77</f>
        <v>59500</v>
      </c>
      <c r="E66" s="14" t="n">
        <f aca="false">Inputs_Yearly!$G$53*Inputs!$E$77</f>
        <v>170000</v>
      </c>
      <c r="F66" s="14" t="n">
        <f aca="false">Inputs_Yearly!$H$53*Inputs!$E$77</f>
        <v>272000</v>
      </c>
      <c r="G66" s="14" t="n">
        <f aca="false">Inputs_Yearly!$I$53*Inputs!$E$77</f>
        <v>357000</v>
      </c>
      <c r="H66" s="24" t="n">
        <f aca="false">SUM(C66:G66)</f>
        <v>895900</v>
      </c>
    </row>
    <row r="67" customFormat="false" ht="15" hidden="false" customHeight="false" outlineLevel="0" collapsed="false">
      <c r="A67" s="10" t="s">
        <v>395</v>
      </c>
      <c r="B67" s="10" t="s">
        <v>178</v>
      </c>
      <c r="C67" s="14" t="n">
        <f aca="false">Inputs_Yearly!$E$57+Inputs_Yearly!$E$61+Inputs_Yearly!$E$65+Inputs_Yearly!$E$69+Inputs_Yearly!$E$73+Inputs_Yearly!$E$77+Inputs_Yearly!$E$81</f>
        <v>29500</v>
      </c>
      <c r="D67" s="14" t="n">
        <f aca="false">Inputs_Yearly!$F$57+Inputs_Yearly!$F$61+Inputs_Yearly!$F$65+Inputs_Yearly!$F$69+Inputs_Yearly!$F$73+Inputs_Yearly!$F$77+Inputs_Yearly!$F$81</f>
        <v>27500</v>
      </c>
      <c r="E67" s="14" t="n">
        <f aca="false">Inputs_Yearly!$G$57+Inputs_Yearly!$G$61+Inputs_Yearly!$G$65+Inputs_Yearly!$G$69+Inputs_Yearly!$G$73+Inputs_Yearly!$G$77+Inputs_Yearly!$G$81</f>
        <v>135000</v>
      </c>
      <c r="F67" s="14" t="n">
        <f aca="false">Inputs_Yearly!$H$57+Inputs_Yearly!$H$61+Inputs_Yearly!$H$65+Inputs_Yearly!$H$69+Inputs_Yearly!$H$73+Inputs_Yearly!$H$77+Inputs_Yearly!$H$81</f>
        <v>167000</v>
      </c>
      <c r="G67" s="14" t="n">
        <f aca="false">Inputs_Yearly!$I$57+Inputs_Yearly!$I$61+Inputs_Yearly!$I$65+Inputs_Yearly!$I$69+Inputs_Yearly!$I$73+Inputs_Yearly!$I$77+Inputs_Yearly!$I$81</f>
        <v>210000</v>
      </c>
      <c r="H67" s="24" t="n">
        <f aca="false">SUM(C67:G67)</f>
        <v>569000</v>
      </c>
    </row>
    <row r="68" customFormat="false" ht="15" hidden="false" customHeight="false" outlineLevel="0" collapsed="false">
      <c r="A68" s="12" t="s">
        <v>396</v>
      </c>
      <c r="B68" s="10" t="s">
        <v>178</v>
      </c>
      <c r="C68" s="24" t="n">
        <f aca="false">C66+C67</f>
        <v>66900</v>
      </c>
      <c r="D68" s="24" t="n">
        <f aca="false">D66+D67</f>
        <v>87000</v>
      </c>
      <c r="E68" s="24" t="n">
        <f aca="false">E66+E67</f>
        <v>305000</v>
      </c>
      <c r="F68" s="24" t="n">
        <f aca="false">F66+F67</f>
        <v>439000</v>
      </c>
      <c r="G68" s="24" t="n">
        <f aca="false">G66+G67</f>
        <v>567000</v>
      </c>
      <c r="H68" s="24" t="n">
        <f aca="false">SUM(C68:G68)</f>
        <v>1464900</v>
      </c>
    </row>
    <row r="69" customFormat="false" ht="15" hidden="false" customHeight="false" outlineLevel="0" collapsed="false">
      <c r="A69" s="25" t="s">
        <v>397</v>
      </c>
      <c r="B69" s="10" t="s">
        <v>178</v>
      </c>
      <c r="C69" s="24" t="n">
        <f aca="false">C65-C68</f>
        <v>-66900</v>
      </c>
      <c r="D69" s="24" t="n">
        <f aca="false">D65-D68</f>
        <v>-89400.8235</v>
      </c>
      <c r="E69" s="24" t="n">
        <f aca="false">E65-E68</f>
        <v>-296874.79825</v>
      </c>
      <c r="F69" s="24" t="n">
        <f aca="false">F65-F68</f>
        <v>-375522.77525</v>
      </c>
      <c r="G69" s="24" t="n">
        <f aca="false">G65-G68</f>
        <v>-363951.2103</v>
      </c>
      <c r="H69" s="24" t="n">
        <f aca="false">SUM(C69:G69)</f>
        <v>-1192649.6073</v>
      </c>
    </row>
    <row r="70" customFormat="false" ht="15" hidden="false" customHeight="false" outlineLevel="0" collapsed="false">
      <c r="A70" s="10" t="s">
        <v>398</v>
      </c>
      <c r="B70" s="10" t="s">
        <v>178</v>
      </c>
      <c r="C70" s="24" t="n">
        <f aca="false">C69+C54-C52</f>
        <v>-66900</v>
      </c>
      <c r="D70" s="24" t="n">
        <f aca="false">D69+D54-D52</f>
        <v>-90594.8985</v>
      </c>
      <c r="E70" s="24" t="n">
        <f aca="false">E69+E54-E52</f>
        <v>-310069.13575</v>
      </c>
      <c r="F70" s="24" t="n">
        <f aca="false">F69+F54-F52</f>
        <v>-372808.30025</v>
      </c>
      <c r="G70" s="24" t="n">
        <f aca="false">G69+G54-G52</f>
        <v>-361236.7353</v>
      </c>
      <c r="H70" s="24" t="n">
        <f aca="false">SUM(C70:G70)</f>
        <v>-1201609.0698</v>
      </c>
    </row>
    <row r="71" customFormat="false" ht="15" hidden="false" customHeight="false" outlineLevel="0" collapsed="false">
      <c r="A71" s="10" t="s">
        <v>37</v>
      </c>
      <c r="B71" s="10" t="s">
        <v>178</v>
      </c>
      <c r="C71" s="24" t="n">
        <f aca="false">0+C70</f>
        <v>-66900</v>
      </c>
      <c r="D71" s="24" t="n">
        <f aca="false">C71+D70</f>
        <v>-157494.8985</v>
      </c>
      <c r="E71" s="24" t="n">
        <f aca="false">D71+E70</f>
        <v>-467564.03425</v>
      </c>
      <c r="F71" s="24" t="n">
        <f aca="false">E71+F70</f>
        <v>-840372.3345</v>
      </c>
      <c r="G71" s="24" t="n">
        <f aca="false">F71+G70</f>
        <v>-1201609.0698</v>
      </c>
    </row>
    <row r="72" customFormat="false" ht="15" hidden="false" customHeight="false" outlineLevel="0" collapsed="false">
      <c r="A72" s="15" t="s">
        <v>399</v>
      </c>
      <c r="B72" s="16"/>
      <c r="C72" s="16"/>
      <c r="D72" s="16"/>
      <c r="E72" s="16"/>
      <c r="F72" s="16"/>
      <c r="G72" s="16"/>
      <c r="H72" s="16"/>
    </row>
    <row r="73" customFormat="false" ht="15" hidden="false" customHeight="false" outlineLevel="0" collapsed="false">
      <c r="A73" s="12" t="s">
        <v>400</v>
      </c>
      <c r="B73" s="10" t="s">
        <v>178</v>
      </c>
      <c r="C73" s="24" t="n">
        <f aca="false">C34+C35</f>
        <v>0</v>
      </c>
      <c r="D73" s="24" t="n">
        <f aca="false">D34+D35</f>
        <v>795</v>
      </c>
      <c r="E73" s="24" t="n">
        <f aca="false">E34+E35</f>
        <v>25900</v>
      </c>
      <c r="F73" s="24" t="n">
        <f aca="false">F34+F35</f>
        <v>93300</v>
      </c>
      <c r="G73" s="24" t="n">
        <f aca="false">G34+G35</f>
        <v>226670</v>
      </c>
      <c r="H73" s="24" t="n">
        <f aca="false">SUM(C73:G73)</f>
        <v>346665</v>
      </c>
    </row>
    <row r="74" customFormat="false" ht="15" hidden="false" customHeight="false" outlineLevel="0" collapsed="false">
      <c r="A74" s="12" t="s">
        <v>401</v>
      </c>
      <c r="B74" s="10" t="s">
        <v>178</v>
      </c>
      <c r="C74" s="24" t="n">
        <f aca="false">C37+C38+C39</f>
        <v>0</v>
      </c>
      <c r="D74" s="24" t="n">
        <f aca="false">D37+D38+D39</f>
        <v>245.61</v>
      </c>
      <c r="E74" s="24" t="n">
        <f aca="false">E37+E38+E39</f>
        <v>3970.695</v>
      </c>
      <c r="F74" s="24" t="n">
        <f aca="false">F37+F38+F39</f>
        <v>12763.77</v>
      </c>
      <c r="G74" s="24" t="n">
        <f aca="false">G37+G38+G39</f>
        <v>30635.61</v>
      </c>
      <c r="H74" s="24" t="n">
        <f aca="false">SUM(C74:G74)</f>
        <v>47615.685</v>
      </c>
    </row>
    <row r="75" customFormat="false" ht="15" hidden="false" customHeight="false" outlineLevel="0" collapsed="false">
      <c r="A75" s="12" t="s">
        <v>44</v>
      </c>
      <c r="B75" s="12" t="s">
        <v>33</v>
      </c>
      <c r="C75" s="26" t="n">
        <f aca="false">IF(C41=0,0,(C36+C74+C40)/C41)</f>
        <v>0</v>
      </c>
      <c r="D75" s="26" t="n">
        <f aca="false">IF(D41=0,0,(D36+D74+D40)/D41)</f>
        <v>0.69483054458353</v>
      </c>
      <c r="E75" s="26" t="n">
        <f aca="false">IF(E41=0,0,(E36+E74+E40)/E41)</f>
        <v>0.651104184533826</v>
      </c>
      <c r="F75" s="26" t="n">
        <f aca="false">IF(F41=0,0,(F36+F74+F40)/F41)</f>
        <v>0.712680021902836</v>
      </c>
      <c r="G75" s="26" t="n">
        <f aca="false">IF(G41=0,0,(G36+G74+G40)/G41)</f>
        <v>0.707688832150406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15"/>
  </cols>
  <sheetData>
    <row r="1" customFormat="false" ht="19.4" hidden="false" customHeight="false" outlineLevel="0" collapsed="false">
      <c r="A1" s="6" t="s">
        <v>404</v>
      </c>
    </row>
    <row r="2" customFormat="false" ht="15" hidden="false" customHeight="false" outlineLevel="0" collapsed="false">
      <c r="A2" s="10" t="s">
        <v>405</v>
      </c>
    </row>
    <row r="3" customFormat="false" ht="15" hidden="false" customHeight="false" outlineLevel="0" collapsed="false">
      <c r="A3" s="9" t="s">
        <v>49</v>
      </c>
      <c r="B3" s="9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28</v>
      </c>
      <c r="H3" s="8" t="s">
        <v>338</v>
      </c>
    </row>
    <row r="4" customFormat="false" ht="15" hidden="false" customHeight="false" outlineLevel="0" collapsed="false">
      <c r="A4" s="15" t="s">
        <v>240</v>
      </c>
      <c r="B4" s="16"/>
      <c r="C4" s="16"/>
      <c r="D4" s="16"/>
      <c r="E4" s="16"/>
      <c r="F4" s="16"/>
      <c r="G4" s="16"/>
      <c r="H4" s="16"/>
    </row>
    <row r="5" customFormat="false" ht="15" hidden="false" customHeight="false" outlineLevel="0" collapsed="false">
      <c r="A5" s="10" t="s">
        <v>297</v>
      </c>
      <c r="B5" s="10" t="s">
        <v>39</v>
      </c>
      <c r="C5" s="14" t="n">
        <f aca="false">Inputs_Yearly!$E$30</f>
        <v>0</v>
      </c>
      <c r="D5" s="14" t="n">
        <f aca="false">Inputs_Yearly!$F$30</f>
        <v>3</v>
      </c>
      <c r="E5" s="14" t="n">
        <f aca="false">Inputs_Yearly!$G$30</f>
        <v>35</v>
      </c>
      <c r="F5" s="14" t="n">
        <f aca="false">Inputs_Yearly!$H$30</f>
        <v>60</v>
      </c>
      <c r="G5" s="14" t="n">
        <f aca="false">Inputs_Yearly!$I$30</f>
        <v>70</v>
      </c>
      <c r="H5" s="24" t="n">
        <f aca="false">SUM(C5:G5)</f>
        <v>168</v>
      </c>
    </row>
    <row r="6" customFormat="false" ht="15" hidden="false" customHeight="false" outlineLevel="0" collapsed="false">
      <c r="A6" s="10" t="s">
        <v>300</v>
      </c>
      <c r="B6" s="10" t="s">
        <v>39</v>
      </c>
      <c r="C6" s="14" t="n">
        <f aca="false">Inputs_Yearly!$E$34</f>
        <v>0</v>
      </c>
      <c r="D6" s="14" t="n">
        <f aca="false">Inputs_Yearly!$F$34</f>
        <v>0</v>
      </c>
      <c r="E6" s="14" t="n">
        <f aca="false">Inputs_Yearly!$G$34</f>
        <v>30</v>
      </c>
      <c r="F6" s="14" t="n">
        <f aca="false">Inputs_Yearly!$H$34</f>
        <v>220</v>
      </c>
      <c r="G6" s="14" t="n">
        <f aca="false">Inputs_Yearly!$I$34</f>
        <v>600</v>
      </c>
      <c r="H6" s="24" t="n">
        <f aca="false">SUM(C6:G6)</f>
        <v>850</v>
      </c>
    </row>
    <row r="7" customFormat="false" ht="15" hidden="false" customHeight="false" outlineLevel="0" collapsed="false">
      <c r="A7" s="10" t="s">
        <v>339</v>
      </c>
      <c r="B7" s="10" t="s">
        <v>39</v>
      </c>
      <c r="C7" s="24" t="n">
        <f aca="false">0</f>
        <v>0</v>
      </c>
      <c r="D7" s="24" t="n">
        <f aca="false">0</f>
        <v>0</v>
      </c>
      <c r="E7" s="14" t="n">
        <f aca="false">Inputs_Yearly!$E$50*Inputs!$F$73*Inputs!$F$74</f>
        <v>0</v>
      </c>
      <c r="F7" s="14" t="n">
        <f aca="false">Inputs_Yearly!$F$50*Inputs!$F$73*Inputs!$F$74</f>
        <v>0</v>
      </c>
      <c r="G7" s="14" t="n">
        <f aca="false">Inputs_Yearly!$G$50*Inputs!$F$73*Inputs!$F$74</f>
        <v>192</v>
      </c>
      <c r="H7" s="24" t="n">
        <f aca="false">SUM(C7:G7)</f>
        <v>192</v>
      </c>
    </row>
    <row r="8" customFormat="false" ht="15" hidden="false" customHeight="false" outlineLevel="0" collapsed="false">
      <c r="A8" s="18" t="s">
        <v>340</v>
      </c>
      <c r="B8" s="10" t="s">
        <v>39</v>
      </c>
      <c r="C8" s="24" t="n">
        <f aca="false">C5+C6+C7</f>
        <v>0</v>
      </c>
      <c r="D8" s="24" t="n">
        <f aca="false">D5+D6+D7</f>
        <v>3</v>
      </c>
      <c r="E8" s="24" t="n">
        <f aca="false">E5+E6+E7</f>
        <v>65</v>
      </c>
      <c r="F8" s="24" t="n">
        <f aca="false">F5+F6+F7</f>
        <v>280</v>
      </c>
      <c r="G8" s="24" t="n">
        <f aca="false">G5+G6+G7</f>
        <v>862</v>
      </c>
      <c r="H8" s="24" t="n">
        <f aca="false">SUM(C8:G8)</f>
        <v>1210</v>
      </c>
    </row>
    <row r="9" customFormat="false" ht="15" hidden="false" customHeight="false" outlineLevel="0" collapsed="false">
      <c r="A9" s="12" t="s">
        <v>341</v>
      </c>
      <c r="B9" s="12" t="s">
        <v>33</v>
      </c>
      <c r="C9" s="13" t="n">
        <f aca="false">Inputs_Yearly!$E$38</f>
        <v>1</v>
      </c>
      <c r="D9" s="13" t="n">
        <f aca="false">Inputs_Yearly!$F$38</f>
        <v>1</v>
      </c>
      <c r="E9" s="13" t="n">
        <f aca="false">Inputs_Yearly!$G$38</f>
        <v>0.85</v>
      </c>
      <c r="F9" s="13" t="n">
        <f aca="false">Inputs_Yearly!$H$38</f>
        <v>0.85</v>
      </c>
      <c r="G9" s="13" t="n">
        <f aca="false">Inputs_Yearly!$I$38</f>
        <v>0.85</v>
      </c>
    </row>
    <row r="10" customFormat="false" ht="15" hidden="false" customHeight="false" outlineLevel="0" collapsed="false">
      <c r="A10" s="12" t="s">
        <v>342</v>
      </c>
      <c r="B10" s="10" t="s">
        <v>41</v>
      </c>
      <c r="C10" s="24" t="n">
        <f aca="false">0*Inputs!$F$72</f>
        <v>0</v>
      </c>
      <c r="D10" s="24" t="n">
        <f aca="false">C20*Inputs!$F$72</f>
        <v>0</v>
      </c>
      <c r="E10" s="24" t="n">
        <f aca="false">D20*Inputs!$F$72</f>
        <v>0</v>
      </c>
      <c r="F10" s="24" t="n">
        <f aca="false">E20*Inputs!$F$72</f>
        <v>1.17</v>
      </c>
      <c r="G10" s="24" t="n">
        <f aca="false">F20*Inputs!$F$72</f>
        <v>6.0696</v>
      </c>
      <c r="H10" s="24" t="n">
        <f aca="false">SUM(C10:G10)</f>
        <v>7.2396</v>
      </c>
    </row>
    <row r="11" customFormat="false" ht="15" hidden="false" customHeight="false" outlineLevel="0" collapsed="false">
      <c r="A11" s="12" t="s">
        <v>343</v>
      </c>
      <c r="B11" s="10" t="s">
        <v>41</v>
      </c>
      <c r="C11" s="24" t="n">
        <f aca="false">(C5+C6)*C9</f>
        <v>0</v>
      </c>
      <c r="D11" s="24" t="n">
        <f aca="false">(D5+D6)*D9</f>
        <v>3</v>
      </c>
      <c r="E11" s="24" t="n">
        <f aca="false">(E5+E6)*E9</f>
        <v>55.25</v>
      </c>
      <c r="F11" s="24" t="n">
        <f aca="false">(F5+F6)*F9</f>
        <v>238</v>
      </c>
      <c r="G11" s="24" t="n">
        <f aca="false">(G5+G6)*G9</f>
        <v>569.5</v>
      </c>
      <c r="H11" s="24" t="n">
        <f aca="false">SUM(C11:G11)</f>
        <v>865.75</v>
      </c>
    </row>
    <row r="12" customFormat="false" ht="15" hidden="false" customHeight="false" outlineLevel="0" collapsed="false">
      <c r="A12" s="12" t="s">
        <v>344</v>
      </c>
      <c r="B12" s="10" t="s">
        <v>41</v>
      </c>
      <c r="C12" s="24" t="n">
        <f aca="false">C7*Inputs!$F$75</f>
        <v>0</v>
      </c>
      <c r="D12" s="24" t="n">
        <f aca="false">D7*Inputs!$F$75</f>
        <v>0</v>
      </c>
      <c r="E12" s="24" t="n">
        <f aca="false">E7*Inputs!$F$75</f>
        <v>0</v>
      </c>
      <c r="F12" s="24" t="n">
        <f aca="false">F7*Inputs!$F$75</f>
        <v>0</v>
      </c>
      <c r="G12" s="24" t="n">
        <f aca="false">G7*Inputs!$F$75</f>
        <v>57.6</v>
      </c>
      <c r="H12" s="24" t="n">
        <f aca="false">SUM(C12:G12)</f>
        <v>57.6</v>
      </c>
    </row>
    <row r="13" customFormat="false" ht="15" hidden="false" customHeight="false" outlineLevel="0" collapsed="false">
      <c r="A13" s="18" t="s">
        <v>345</v>
      </c>
      <c r="B13" s="10" t="s">
        <v>41</v>
      </c>
      <c r="C13" s="24" t="n">
        <f aca="false">C11+C12+C10</f>
        <v>0</v>
      </c>
      <c r="D13" s="24" t="n">
        <f aca="false">D11+D12+D10</f>
        <v>3</v>
      </c>
      <c r="E13" s="24" t="n">
        <f aca="false">E11+E12+E10</f>
        <v>55.25</v>
      </c>
      <c r="F13" s="24" t="n">
        <f aca="false">F11+F12+F10</f>
        <v>239.17</v>
      </c>
      <c r="G13" s="24" t="n">
        <f aca="false">G11+G12+G10</f>
        <v>633.1696</v>
      </c>
      <c r="H13" s="24" t="n">
        <f aca="false">SUM(C13:G13)</f>
        <v>930.5896</v>
      </c>
    </row>
    <row r="14" customFormat="false" ht="15" hidden="false" customHeight="false" outlineLevel="0" collapsed="false">
      <c r="A14" s="12" t="s">
        <v>346</v>
      </c>
      <c r="B14" s="12" t="s">
        <v>33</v>
      </c>
      <c r="C14" s="13" t="n">
        <f aca="false">Inputs_Yearly!$E$42</f>
        <v>0</v>
      </c>
      <c r="D14" s="13" t="n">
        <f aca="false">Inputs_Yearly!$F$42</f>
        <v>0.3</v>
      </c>
      <c r="E14" s="13" t="n">
        <f aca="false">Inputs_Yearly!$G$42</f>
        <v>0.3</v>
      </c>
      <c r="F14" s="13" t="n">
        <f aca="false">Inputs_Yearly!$H$42</f>
        <v>0.45</v>
      </c>
      <c r="G14" s="13" t="n">
        <f aca="false">Inputs_Yearly!$I$42</f>
        <v>0.45</v>
      </c>
    </row>
    <row r="15" customFormat="false" ht="15" hidden="false" customHeight="false" outlineLevel="0" collapsed="false">
      <c r="A15" s="12" t="s">
        <v>347</v>
      </c>
      <c r="B15" s="12" t="s">
        <v>309</v>
      </c>
      <c r="C15" s="14" t="n">
        <f aca="false">Inputs_Yearly!$E$46</f>
        <v>0</v>
      </c>
      <c r="D15" s="14" t="n">
        <f aca="false">Inputs_Yearly!$F$46</f>
        <v>0</v>
      </c>
      <c r="E15" s="14" t="n">
        <f aca="false">Inputs_Yearly!$G$46</f>
        <v>0</v>
      </c>
      <c r="F15" s="14" t="n">
        <f aca="false">Inputs_Yearly!$H$46</f>
        <v>1</v>
      </c>
      <c r="G15" s="14" t="n">
        <f aca="false">Inputs_Yearly!$I$46</f>
        <v>1</v>
      </c>
    </row>
    <row r="16" customFormat="false" ht="15" hidden="false" customHeight="false" outlineLevel="0" collapsed="false">
      <c r="A16" s="12" t="s">
        <v>348</v>
      </c>
      <c r="B16" s="10" t="s">
        <v>41</v>
      </c>
      <c r="C16" s="24" t="n">
        <f aca="false">C13*C14</f>
        <v>0</v>
      </c>
      <c r="D16" s="24" t="n">
        <f aca="false">D13*D14</f>
        <v>0.9</v>
      </c>
      <c r="E16" s="24" t="n">
        <f aca="false">E13*E14</f>
        <v>16.575</v>
      </c>
      <c r="F16" s="24" t="n">
        <f aca="false">F13*F14</f>
        <v>107.6265</v>
      </c>
      <c r="G16" s="24" t="n">
        <f aca="false">G13*G14</f>
        <v>284.92632</v>
      </c>
      <c r="H16" s="24" t="n">
        <f aca="false">SUM(C16:G16)</f>
        <v>410.02782</v>
      </c>
    </row>
    <row r="17" customFormat="false" ht="15" hidden="false" customHeight="false" outlineLevel="0" collapsed="false">
      <c r="A17" s="10" t="s">
        <v>349</v>
      </c>
      <c r="B17" s="10" t="s">
        <v>41</v>
      </c>
      <c r="C17" s="24" t="n">
        <f aca="false">C13-C16</f>
        <v>0</v>
      </c>
      <c r="D17" s="24" t="n">
        <f aca="false">D13-D16</f>
        <v>2.1</v>
      </c>
      <c r="E17" s="24" t="n">
        <f aca="false">E13-E16</f>
        <v>38.675</v>
      </c>
      <c r="F17" s="24" t="n">
        <f aca="false">F13-F16</f>
        <v>131.5435</v>
      </c>
      <c r="G17" s="24" t="n">
        <f aca="false">G13-G16</f>
        <v>348.24328</v>
      </c>
      <c r="H17" s="24" t="n">
        <f aca="false">SUM(C17:G17)</f>
        <v>520.56178</v>
      </c>
    </row>
    <row r="18" customFormat="false" ht="15" hidden="false" customHeight="false" outlineLevel="0" collapsed="false">
      <c r="A18" s="12" t="s">
        <v>350</v>
      </c>
      <c r="B18" s="10" t="s">
        <v>41</v>
      </c>
      <c r="C18" s="24" t="n">
        <f aca="false">C16*(1-C15)</f>
        <v>0</v>
      </c>
      <c r="D18" s="24" t="n">
        <f aca="false">D16*(1-D15)</f>
        <v>0.9</v>
      </c>
      <c r="E18" s="24" t="n">
        <f aca="false">E16*(1-E15)</f>
        <v>16.575</v>
      </c>
      <c r="F18" s="24" t="n">
        <f aca="false">F16*(1-F15)</f>
        <v>0</v>
      </c>
      <c r="G18" s="24" t="n">
        <f aca="false">G16*(1-G15)</f>
        <v>0</v>
      </c>
      <c r="H18" s="24" t="n">
        <f aca="false">SUM(C18:G18)</f>
        <v>17.475</v>
      </c>
    </row>
    <row r="19" customFormat="false" ht="15" hidden="false" customHeight="false" outlineLevel="0" collapsed="false">
      <c r="A19" s="12" t="s">
        <v>351</v>
      </c>
      <c r="B19" s="10" t="s">
        <v>41</v>
      </c>
      <c r="C19" s="24" t="n">
        <f aca="false">C16*C15</f>
        <v>0</v>
      </c>
      <c r="D19" s="24" t="n">
        <f aca="false">D16*D15</f>
        <v>0</v>
      </c>
      <c r="E19" s="24" t="n">
        <f aca="false">E16*E15</f>
        <v>0</v>
      </c>
      <c r="F19" s="24" t="n">
        <f aca="false">F16*F15</f>
        <v>107.6265</v>
      </c>
      <c r="G19" s="24" t="n">
        <f aca="false">G16*G15</f>
        <v>284.92632</v>
      </c>
      <c r="H19" s="24" t="n">
        <f aca="false">SUM(C19:G19)</f>
        <v>392.55282</v>
      </c>
    </row>
    <row r="20" customFormat="false" ht="15" hidden="false" customHeight="false" outlineLevel="0" collapsed="false">
      <c r="A20" s="12" t="s">
        <v>352</v>
      </c>
      <c r="B20" s="10" t="s">
        <v>39</v>
      </c>
      <c r="C20" s="24" t="n">
        <f aca="false">0+(C5+C6)*(1-C9)+C7*(1-Inputs!$F$75)-C10</f>
        <v>0</v>
      </c>
      <c r="D20" s="24" t="n">
        <f aca="false">C20+(D5+D6)*(1-D9)+D7*(1-Inputs!$F$75)-D10</f>
        <v>0</v>
      </c>
      <c r="E20" s="24" t="n">
        <f aca="false">D20+(E5+E6)*(1-E9)+E7*(1-Inputs!$F$75)-E10</f>
        <v>9.75</v>
      </c>
      <c r="F20" s="24" t="n">
        <f aca="false">E20+(F5+F6)*(1-F9)+F7*(1-Inputs!$F$75)-F10</f>
        <v>50.58</v>
      </c>
      <c r="G20" s="24" t="n">
        <f aca="false">F20+(G5+G6)*(1-G9)+G7*(1-Inputs!$F$75)-G10</f>
        <v>279.4104</v>
      </c>
    </row>
    <row r="21" customFormat="false" ht="15" hidden="false" customHeight="false" outlineLevel="0" collapsed="false">
      <c r="A21" s="10" t="s">
        <v>353</v>
      </c>
      <c r="B21" s="10" t="s">
        <v>41</v>
      </c>
      <c r="C21" s="24" t="n">
        <f aca="false">0+C17</f>
        <v>0</v>
      </c>
      <c r="D21" s="24" t="n">
        <f aca="false">C21+D17</f>
        <v>2.1</v>
      </c>
      <c r="E21" s="24" t="n">
        <f aca="false">D21+E17</f>
        <v>40.775</v>
      </c>
      <c r="F21" s="24" t="n">
        <f aca="false">E21+F17</f>
        <v>172.3185</v>
      </c>
      <c r="G21" s="24" t="n">
        <f aca="false">F21+G17</f>
        <v>520.56178</v>
      </c>
    </row>
    <row r="22" customFormat="false" ht="15" hidden="false" customHeight="false" outlineLevel="0" collapsed="false">
      <c r="A22" s="10" t="s">
        <v>354</v>
      </c>
      <c r="B22" s="10" t="s">
        <v>41</v>
      </c>
      <c r="C22" s="24" t="n">
        <f aca="false">0+C17/2</f>
        <v>0</v>
      </c>
      <c r="D22" s="24" t="n">
        <f aca="false">C21+D17/2</f>
        <v>1.05</v>
      </c>
      <c r="E22" s="24" t="n">
        <f aca="false">D21+E17/2</f>
        <v>21.4375</v>
      </c>
      <c r="F22" s="24" t="n">
        <f aca="false">E21+F17/2</f>
        <v>106.54675</v>
      </c>
      <c r="G22" s="24" t="n">
        <f aca="false">F21+G17/2</f>
        <v>346.44014</v>
      </c>
    </row>
    <row r="23" customFormat="false" ht="15" hidden="false" customHeight="false" outlineLevel="0" collapsed="false">
      <c r="A23" s="12" t="s">
        <v>355</v>
      </c>
      <c r="B23" s="10" t="s">
        <v>41</v>
      </c>
      <c r="C23" s="24" t="n">
        <f aca="false">0+C18</f>
        <v>0</v>
      </c>
      <c r="D23" s="24" t="n">
        <f aca="false">C23+D18</f>
        <v>0.9</v>
      </c>
      <c r="E23" s="24" t="n">
        <f aca="false">D23+E18</f>
        <v>17.475</v>
      </c>
      <c r="F23" s="24" t="n">
        <f aca="false">E23+F18</f>
        <v>17.475</v>
      </c>
      <c r="G23" s="24" t="n">
        <f aca="false">F23+G18</f>
        <v>17.475</v>
      </c>
    </row>
    <row r="24" customFormat="false" ht="15" hidden="false" customHeight="false" outlineLevel="0" collapsed="false">
      <c r="A24" s="12" t="s">
        <v>356</v>
      </c>
      <c r="B24" s="10" t="s">
        <v>41</v>
      </c>
      <c r="C24" s="24" t="n">
        <f aca="false">0+C18/2</f>
        <v>0</v>
      </c>
      <c r="D24" s="24" t="n">
        <f aca="false">C23+D18/2</f>
        <v>0.45</v>
      </c>
      <c r="E24" s="24" t="n">
        <f aca="false">D23+E18/2</f>
        <v>9.1875</v>
      </c>
      <c r="F24" s="24" t="n">
        <f aca="false">E23+F18/2</f>
        <v>17.475</v>
      </c>
      <c r="G24" s="24" t="n">
        <f aca="false">F23+G18/2</f>
        <v>17.475</v>
      </c>
    </row>
    <row r="25" customFormat="false" ht="15" hidden="false" customHeight="false" outlineLevel="0" collapsed="false">
      <c r="A25" s="12" t="s">
        <v>357</v>
      </c>
      <c r="B25" s="10" t="s">
        <v>41</v>
      </c>
      <c r="C25" s="24" t="n">
        <f aca="false">0+C19</f>
        <v>0</v>
      </c>
      <c r="D25" s="24" t="n">
        <f aca="false">C25+D19</f>
        <v>0</v>
      </c>
      <c r="E25" s="24" t="n">
        <f aca="false">D25+E19</f>
        <v>0</v>
      </c>
      <c r="F25" s="24" t="n">
        <f aca="false">E25+F19</f>
        <v>107.6265</v>
      </c>
      <c r="G25" s="24" t="n">
        <f aca="false">F25+G19</f>
        <v>392.55282</v>
      </c>
    </row>
    <row r="26" customFormat="false" ht="15" hidden="false" customHeight="false" outlineLevel="0" collapsed="false">
      <c r="A26" s="12" t="s">
        <v>358</v>
      </c>
      <c r="B26" s="10" t="s">
        <v>41</v>
      </c>
      <c r="C26" s="24" t="n">
        <f aca="false">0+C19/2</f>
        <v>0</v>
      </c>
      <c r="D26" s="24" t="n">
        <f aca="false">C25+D19/2</f>
        <v>0</v>
      </c>
      <c r="E26" s="24" t="n">
        <f aca="false">D25+E19/2</f>
        <v>0</v>
      </c>
      <c r="F26" s="24" t="n">
        <f aca="false">E25+F19/2</f>
        <v>53.81325</v>
      </c>
      <c r="G26" s="24" t="n">
        <f aca="false">F25+G19/2</f>
        <v>250.08966</v>
      </c>
    </row>
    <row r="27" customFormat="false" ht="15" hidden="false" customHeight="false" outlineLevel="0" collapsed="false">
      <c r="A27" s="12" t="s">
        <v>42</v>
      </c>
      <c r="B27" s="10" t="s">
        <v>41</v>
      </c>
      <c r="C27" s="24" t="n">
        <f aca="false">C21+C23+C25</f>
        <v>0</v>
      </c>
      <c r="D27" s="24" t="n">
        <f aca="false">D21+D23+D25</f>
        <v>3</v>
      </c>
      <c r="E27" s="24" t="n">
        <f aca="false">E21+E23+E25</f>
        <v>58.25</v>
      </c>
      <c r="F27" s="24" t="n">
        <f aca="false">F21+F23+F25</f>
        <v>297.42</v>
      </c>
      <c r="G27" s="24" t="n">
        <f aca="false">G21+G23+G25</f>
        <v>930.5896</v>
      </c>
    </row>
    <row r="28" customFormat="false" ht="15" hidden="false" customHeight="false" outlineLevel="0" collapsed="false">
      <c r="A28" s="10" t="s">
        <v>359</v>
      </c>
      <c r="B28" s="10" t="s">
        <v>39</v>
      </c>
      <c r="C28" s="14" t="n">
        <f aca="false">Inputs_Yearly!$E$50*Inputs!$F$73*Inputs!$F$74</f>
        <v>0</v>
      </c>
      <c r="D28" s="24" t="n">
        <f aca="false">(Inputs_Yearly!$F$50+Inputs_Yearly!$E$50)*Inputs!$F$73*Inputs!$F$74</f>
        <v>0</v>
      </c>
      <c r="E28" s="24" t="n">
        <f aca="false">(Inputs_Yearly!$G$50+Inputs_Yearly!$F$50)*Inputs!$F$73*Inputs!$F$74</f>
        <v>192</v>
      </c>
      <c r="F28" s="24" t="n">
        <f aca="false">(Inputs_Yearly!$H$50+Inputs_Yearly!$G$50)*Inputs!$F$73*Inputs!$F$74</f>
        <v>480</v>
      </c>
      <c r="G28" s="24" t="n">
        <f aca="false">(Inputs_Yearly!$I$50+Inputs_Yearly!$H$50)*Inputs!$F$73*Inputs!$F$74</f>
        <v>672</v>
      </c>
    </row>
    <row r="29" customFormat="false" ht="15" hidden="false" customHeight="false" outlineLevel="0" collapsed="false">
      <c r="A29" s="15" t="s">
        <v>360</v>
      </c>
      <c r="B29" s="16"/>
      <c r="C29" s="16"/>
      <c r="D29" s="16"/>
      <c r="E29" s="16"/>
      <c r="F29" s="16"/>
      <c r="G29" s="16"/>
      <c r="H29" s="16"/>
    </row>
    <row r="30" customFormat="false" ht="15" hidden="false" customHeight="false" outlineLevel="0" collapsed="false">
      <c r="A30" s="10" t="s">
        <v>361</v>
      </c>
      <c r="B30" s="12" t="s">
        <v>33</v>
      </c>
      <c r="C30" s="13" t="n">
        <f aca="false">Inputs_Yearly!$E$6</f>
        <v>1</v>
      </c>
      <c r="D30" s="13" t="n">
        <f aca="false">Inputs_Yearly!$F$6</f>
        <v>0.6</v>
      </c>
      <c r="E30" s="13" t="n">
        <f aca="false">Inputs_Yearly!$G$6</f>
        <v>1</v>
      </c>
      <c r="F30" s="13" t="n">
        <f aca="false">Inputs_Yearly!$H$6</f>
        <v>1</v>
      </c>
      <c r="G30" s="13" t="n">
        <f aca="false">Inputs_Yearly!$I$6</f>
        <v>1</v>
      </c>
    </row>
    <row r="31" customFormat="false" ht="15" hidden="false" customHeight="false" outlineLevel="0" collapsed="false">
      <c r="A31" s="12" t="s">
        <v>362</v>
      </c>
      <c r="B31" s="10" t="s">
        <v>138</v>
      </c>
      <c r="C31" s="14" t="n">
        <f aca="false">Inputs!$F$38*Inputs!$F$39+Inputs!$F$40*Inputs!$F$41+Inputs!$F$42*Inputs!$F$43</f>
        <v>36</v>
      </c>
      <c r="D31" s="14" t="n">
        <f aca="false">Inputs!$F$38*Inputs!$F$39+Inputs!$F$40*Inputs!$F$41+Inputs!$F$42*Inputs!$F$43</f>
        <v>36</v>
      </c>
      <c r="E31" s="14" t="n">
        <f aca="false">Inputs!$F$38*Inputs!$F$39+Inputs!$F$40*Inputs!$F$41+Inputs!$F$42*Inputs!$F$43</f>
        <v>36</v>
      </c>
      <c r="F31" s="14" t="n">
        <f aca="false">Inputs!$F$38*Inputs!$F$39+Inputs!$F$40*Inputs!$F$41+Inputs!$F$42*Inputs!$F$43</f>
        <v>36</v>
      </c>
      <c r="G31" s="14" t="n">
        <f aca="false">Inputs!$F$38*Inputs!$F$39+Inputs!$F$40*Inputs!$F$41+Inputs!$F$42*Inputs!$F$43</f>
        <v>36</v>
      </c>
    </row>
    <row r="32" customFormat="false" ht="15" hidden="false" customHeight="false" outlineLevel="0" collapsed="false">
      <c r="A32" s="12" t="s">
        <v>363</v>
      </c>
      <c r="B32" s="10" t="s">
        <v>138</v>
      </c>
      <c r="C32" s="14" t="n">
        <f aca="false">Inputs!$F$40*Inputs!$F$41+Inputs!$F$42*Inputs!$F$43</f>
        <v>18</v>
      </c>
      <c r="D32" s="14" t="n">
        <f aca="false">Inputs!$F$40*Inputs!$F$41+Inputs!$F$42*Inputs!$F$43</f>
        <v>18</v>
      </c>
      <c r="E32" s="14" t="n">
        <f aca="false">Inputs!$F$40*Inputs!$F$41+Inputs!$F$42*Inputs!$F$43</f>
        <v>18</v>
      </c>
      <c r="F32" s="14" t="n">
        <f aca="false">Inputs!$F$40*Inputs!$F$41+Inputs!$F$42*Inputs!$F$43</f>
        <v>18</v>
      </c>
      <c r="G32" s="14" t="n">
        <f aca="false">Inputs!$F$40*Inputs!$F$41+Inputs!$F$42*Inputs!$F$43</f>
        <v>18</v>
      </c>
    </row>
    <row r="33" customFormat="false" ht="15" hidden="false" customHeight="false" outlineLevel="0" collapsed="false">
      <c r="A33" s="12" t="s">
        <v>364</v>
      </c>
      <c r="B33" s="10" t="s">
        <v>138</v>
      </c>
      <c r="C33" s="14" t="n">
        <f aca="false">Inputs!$F$38*Inputs!$F$39</f>
        <v>18</v>
      </c>
      <c r="D33" s="14" t="n">
        <f aca="false">Inputs!$F$38*Inputs!$F$39</f>
        <v>18</v>
      </c>
      <c r="E33" s="14" t="n">
        <f aca="false">Inputs!$F$38*Inputs!$F$39</f>
        <v>18</v>
      </c>
      <c r="F33" s="14" t="n">
        <f aca="false">Inputs!$F$38*Inputs!$F$39</f>
        <v>18</v>
      </c>
      <c r="G33" s="14" t="n">
        <f aca="false">Inputs!$F$38*Inputs!$F$39</f>
        <v>18</v>
      </c>
    </row>
    <row r="34" customFormat="false" ht="15" hidden="false" customHeight="false" outlineLevel="0" collapsed="false">
      <c r="A34" s="12" t="s">
        <v>365</v>
      </c>
      <c r="B34" s="10" t="s">
        <v>178</v>
      </c>
      <c r="C34" s="24" t="n">
        <f aca="false">(C5+C6)*Inputs!$F$30*C30+C7*Inputs!$F$31</f>
        <v>0</v>
      </c>
      <c r="D34" s="24" t="n">
        <f aca="false">(D5+D6)*Inputs!$F$30*D30+D7*Inputs!$F$31</f>
        <v>810</v>
      </c>
      <c r="E34" s="24" t="n">
        <f aca="false">(E5+E6)*Inputs!$F$30*E30+E7*Inputs!$F$31</f>
        <v>29250</v>
      </c>
      <c r="F34" s="24" t="n">
        <f aca="false">(F5+F6)*Inputs!$F$30*F30+F7*Inputs!$F$31</f>
        <v>126000</v>
      </c>
      <c r="G34" s="24" t="n">
        <f aca="false">(G5+G6)*Inputs!$F$30*G30+G7*Inputs!$F$31</f>
        <v>343740</v>
      </c>
      <c r="H34" s="24" t="n">
        <f aca="false">SUM(C34:G34)</f>
        <v>499800</v>
      </c>
    </row>
    <row r="35" customFormat="false" ht="15" hidden="false" customHeight="false" outlineLevel="0" collapsed="false">
      <c r="A35" s="12" t="s">
        <v>366</v>
      </c>
      <c r="B35" s="10" t="s">
        <v>178</v>
      </c>
      <c r="C35" s="24" t="n">
        <f aca="false">C13*Inputs!$F$33*C30</f>
        <v>0</v>
      </c>
      <c r="D35" s="24" t="n">
        <f aca="false">D13*Inputs!$F$33*D30</f>
        <v>144</v>
      </c>
      <c r="E35" s="24" t="n">
        <f aca="false">E13*Inputs!$F$33*E30</f>
        <v>4420</v>
      </c>
      <c r="F35" s="24" t="n">
        <f aca="false">F13*Inputs!$F$33*F30</f>
        <v>19133.6</v>
      </c>
      <c r="G35" s="24" t="n">
        <f aca="false">G13*Inputs!$F$33*G30</f>
        <v>50653.568</v>
      </c>
      <c r="H35" s="24" t="n">
        <f aca="false">SUM(C35:G35)</f>
        <v>74351.168</v>
      </c>
    </row>
    <row r="36" customFormat="false" ht="15" hidden="false" customHeight="false" outlineLevel="0" collapsed="false">
      <c r="A36" s="12" t="s">
        <v>367</v>
      </c>
      <c r="B36" s="10" t="s">
        <v>178</v>
      </c>
      <c r="C36" s="24" t="n">
        <f aca="false">C17*Inputs!$F$32*C30+C19*Inputs!$F$32*Inputs!$F$50</f>
        <v>0</v>
      </c>
      <c r="D36" s="24" t="n">
        <f aca="false">D17*Inputs!$F$32*D30+D19*Inputs!$F$32*Inputs!$F$50</f>
        <v>1877.4</v>
      </c>
      <c r="E36" s="24" t="n">
        <f aca="false">E17*Inputs!$F$32*E30+E19*Inputs!$F$32*Inputs!$F$50</f>
        <v>57625.75</v>
      </c>
      <c r="F36" s="24" t="n">
        <f aca="false">F17*Inputs!$F$32*F30+F19*Inputs!$F$32*Inputs!$F$50</f>
        <v>337119.6818</v>
      </c>
      <c r="G36" s="24" t="n">
        <f aca="false">G17*Inputs!$F$32*G30+G19*Inputs!$F$32*Inputs!$F$50</f>
        <v>892477.877984</v>
      </c>
      <c r="H36" s="24" t="n">
        <f aca="false">SUM(C36:G36)</f>
        <v>1289100.709784</v>
      </c>
    </row>
    <row r="37" customFormat="false" ht="15" hidden="false" customHeight="false" outlineLevel="0" collapsed="false">
      <c r="A37" s="12" t="s">
        <v>368</v>
      </c>
      <c r="B37" s="10" t="s">
        <v>178</v>
      </c>
      <c r="C37" s="24" t="n">
        <f aca="false">C24*Inputs!$F$34*12</f>
        <v>0</v>
      </c>
      <c r="D37" s="24" t="n">
        <f aca="false">D24*Inputs!$F$34*12</f>
        <v>178.2</v>
      </c>
      <c r="E37" s="24" t="n">
        <f aca="false">E24*Inputs!$F$34*12</f>
        <v>3638.25</v>
      </c>
      <c r="F37" s="24" t="n">
        <f aca="false">F24*Inputs!$F$34*12</f>
        <v>6920.1</v>
      </c>
      <c r="G37" s="24" t="n">
        <f aca="false">G24*Inputs!$F$34*12</f>
        <v>6920.1</v>
      </c>
      <c r="H37" s="24" t="n">
        <f aca="false">SUM(C37:G37)</f>
        <v>17656.65</v>
      </c>
    </row>
    <row r="38" customFormat="false" ht="15" hidden="false" customHeight="false" outlineLevel="0" collapsed="false">
      <c r="A38" s="12" t="s">
        <v>369</v>
      </c>
      <c r="B38" s="10" t="s">
        <v>178</v>
      </c>
      <c r="C38" s="24" t="n">
        <f aca="false">C22*Inputs!$F$45*Inputs!$F$36+C26*Inputs!$F$51*12</f>
        <v>0</v>
      </c>
      <c r="D38" s="24" t="n">
        <f aca="false">D22*Inputs!$F$45*Inputs!$F$36+D26*Inputs!$F$51*12</f>
        <v>35.28</v>
      </c>
      <c r="E38" s="24" t="n">
        <f aca="false">E22*Inputs!$F$45*Inputs!$F$36+E26*Inputs!$F$51*12</f>
        <v>720.3</v>
      </c>
      <c r="F38" s="24" t="n">
        <f aca="false">F22*Inputs!$F$45*Inputs!$F$36+F26*Inputs!$F$51*12</f>
        <v>7454.5248</v>
      </c>
      <c r="G38" s="24" t="n">
        <f aca="false">G22*Inputs!$F$45*Inputs!$F$36+G26*Inputs!$F$51*12</f>
        <v>29646.844224</v>
      </c>
      <c r="H38" s="24" t="n">
        <f aca="false">SUM(C38:G38)</f>
        <v>37856.949024</v>
      </c>
    </row>
    <row r="39" customFormat="false" ht="15" hidden="false" customHeight="false" outlineLevel="0" collapsed="false">
      <c r="A39" s="12" t="s">
        <v>370</v>
      </c>
      <c r="B39" s="10" t="s">
        <v>178</v>
      </c>
      <c r="C39" s="24" t="n">
        <f aca="false">C22*Inputs!$F$44*C31+(C24+C26)*Inputs!$F$44*C32</f>
        <v>0</v>
      </c>
      <c r="D39" s="24" t="n">
        <f aca="false">D22*Inputs!$F$44*D31+(D24+D26)*Inputs!$F$44*D32</f>
        <v>32.13</v>
      </c>
      <c r="E39" s="24" t="n">
        <f aca="false">E22*Inputs!$F$44*E31+(E24+E26)*Inputs!$F$44*E32</f>
        <v>655.9875</v>
      </c>
      <c r="F39" s="24" t="n">
        <f aca="false">F22*Inputs!$F$44*F31+(F24+F26)*Inputs!$F$44*F32</f>
        <v>3583.21005</v>
      </c>
      <c r="G39" s="24" t="n">
        <f aca="false">G22*Inputs!$F$44*G31+(G24+G26)*Inputs!$F$44*G32</f>
        <v>12101.606244</v>
      </c>
      <c r="H39" s="24" t="n">
        <f aca="false">SUM(C39:G39)</f>
        <v>16372.933794</v>
      </c>
    </row>
    <row r="40" customFormat="false" ht="15" hidden="false" customHeight="false" outlineLevel="0" collapsed="false">
      <c r="A40" s="12" t="s">
        <v>371</v>
      </c>
      <c r="B40" s="10" t="s">
        <v>178</v>
      </c>
      <c r="C40" s="24" t="n">
        <f aca="false">0*Inputs!$F$47*Inputs!$F$46+0*Inputs!$F$49*Inputs!$F$48</f>
        <v>0</v>
      </c>
      <c r="D40" s="24" t="n">
        <f aca="false">C13*Inputs!$F$47*Inputs!$F$46+0*Inputs!$F$49*Inputs!$F$48</f>
        <v>0</v>
      </c>
      <c r="E40" s="24" t="n">
        <f aca="false">D13*Inputs!$F$47*Inputs!$F$46+C13*Inputs!$F$49*Inputs!$F$48</f>
        <v>36</v>
      </c>
      <c r="F40" s="24" t="n">
        <f aca="false">E13*Inputs!$F$47*Inputs!$F$46+D13*Inputs!$F$49*Inputs!$F$48</f>
        <v>723</v>
      </c>
      <c r="G40" s="24" t="n">
        <f aca="false">F13*Inputs!$F$47*Inputs!$F$46+E13*Inputs!$F$49*Inputs!$F$48</f>
        <v>3975.04</v>
      </c>
      <c r="H40" s="24" t="n">
        <f aca="false">SUM(C40:G40)</f>
        <v>4734.04</v>
      </c>
    </row>
    <row r="41" customFormat="false" ht="15" hidden="false" customHeight="false" outlineLevel="0" collapsed="false">
      <c r="A41" s="25" t="s">
        <v>372</v>
      </c>
      <c r="B41" s="10" t="s">
        <v>178</v>
      </c>
      <c r="C41" s="24" t="n">
        <f aca="false">SUM(C34:C40)</f>
        <v>0</v>
      </c>
      <c r="D41" s="24" t="n">
        <f aca="false">SUM(D34:D40)</f>
        <v>3077.01</v>
      </c>
      <c r="E41" s="24" t="n">
        <f aca="false">SUM(E34:E40)</f>
        <v>96346.2875</v>
      </c>
      <c r="F41" s="24" t="n">
        <f aca="false">SUM(F34:F40)</f>
        <v>500934.11665</v>
      </c>
      <c r="G41" s="24" t="n">
        <f aca="false">SUM(G34:G40)</f>
        <v>1339515.036452</v>
      </c>
      <c r="H41" s="24" t="n">
        <f aca="false">SUM(C41:G41)</f>
        <v>1939872.450602</v>
      </c>
    </row>
    <row r="42" customFormat="false" ht="15" hidden="false" customHeight="false" outlineLevel="0" collapsed="false">
      <c r="A42" s="15" t="s">
        <v>373</v>
      </c>
      <c r="B42" s="16"/>
      <c r="C42" s="16"/>
      <c r="D42" s="16"/>
      <c r="E42" s="16"/>
      <c r="F42" s="16"/>
      <c r="G42" s="16"/>
      <c r="H42" s="16"/>
    </row>
    <row r="43" customFormat="false" ht="15" hidden="false" customHeight="false" outlineLevel="0" collapsed="false">
      <c r="A43" s="12" t="s">
        <v>282</v>
      </c>
      <c r="B43" s="12" t="s">
        <v>33</v>
      </c>
      <c r="C43" s="13" t="n">
        <f aca="false">Inputs_Yearly!$E$10</f>
        <v>0.4</v>
      </c>
      <c r="D43" s="13" t="n">
        <f aca="false">Inputs_Yearly!$F$10</f>
        <v>0.55</v>
      </c>
      <c r="E43" s="13" t="n">
        <f aca="false">Inputs_Yearly!$G$10</f>
        <v>0.7</v>
      </c>
      <c r="F43" s="13" t="n">
        <f aca="false">Inputs_Yearly!$H$10</f>
        <v>0.8</v>
      </c>
      <c r="G43" s="13" t="n">
        <f aca="false">Inputs_Yearly!$I$10</f>
        <v>0.85</v>
      </c>
    </row>
    <row r="44" customFormat="false" ht="15" hidden="false" customHeight="false" outlineLevel="0" collapsed="false">
      <c r="A44" s="12" t="s">
        <v>374</v>
      </c>
      <c r="B44" s="10" t="s">
        <v>178</v>
      </c>
      <c r="C44" s="14" t="n">
        <f aca="false">Inputs!$F$53*(C43+Inputs!$F$54*(1-C43))+Inputs!$F$55*(1-C43)</f>
        <v>332</v>
      </c>
      <c r="D44" s="14" t="n">
        <f aca="false">Inputs!$F$53*(D43+Inputs!$F$54*(1-D43))+Inputs!$F$55*(1-D43)</f>
        <v>299</v>
      </c>
      <c r="E44" s="14" t="n">
        <f aca="false">Inputs!$F$53*(E43+Inputs!$F$54*(1-E43))+Inputs!$F$55*(1-E43)</f>
        <v>266</v>
      </c>
      <c r="F44" s="14" t="n">
        <f aca="false">Inputs!$F$53*(F43+Inputs!$F$54*(1-F43))+Inputs!$F$55*(1-F43)</f>
        <v>244</v>
      </c>
      <c r="G44" s="14" t="n">
        <f aca="false">Inputs!$F$53*(G43+Inputs!$F$54*(1-G43))+Inputs!$F$55*(1-G43)</f>
        <v>233</v>
      </c>
    </row>
    <row r="45" customFormat="false" ht="15" hidden="false" customHeight="false" outlineLevel="0" collapsed="false">
      <c r="A45" s="12" t="s">
        <v>375</v>
      </c>
      <c r="B45" s="10" t="s">
        <v>178</v>
      </c>
      <c r="C45" s="14" t="n">
        <f aca="false">Inputs_Yearly!$E$14</f>
        <v>1600</v>
      </c>
      <c r="D45" s="14" t="n">
        <f aca="false">Inputs_Yearly!$F$14</f>
        <v>1400</v>
      </c>
      <c r="E45" s="14" t="n">
        <f aca="false">Inputs_Yearly!$G$14</f>
        <v>1080</v>
      </c>
      <c r="F45" s="14" t="n">
        <f aca="false">Inputs_Yearly!$H$14</f>
        <v>920</v>
      </c>
      <c r="G45" s="14" t="n">
        <f aca="false">Inputs_Yearly!$I$14</f>
        <v>800</v>
      </c>
    </row>
    <row r="46" customFormat="false" ht="15" hidden="false" customHeight="false" outlineLevel="0" collapsed="false">
      <c r="A46" s="12" t="s">
        <v>376</v>
      </c>
      <c r="B46" s="10" t="s">
        <v>178</v>
      </c>
      <c r="C46" s="14" t="n">
        <f aca="false">Inputs_Yearly!$E$22*Inputs_Yearly!$E$26+Inputs!$F$59*Inputs!$F$60+Inputs!$F$61</f>
        <v>43</v>
      </c>
      <c r="D46" s="14" t="n">
        <f aca="false">Inputs_Yearly!$F$22*Inputs_Yearly!$F$26+Inputs!$F$59*Inputs!$F$60+Inputs!$F$61</f>
        <v>37</v>
      </c>
      <c r="E46" s="14" t="n">
        <f aca="false">Inputs_Yearly!$G$22*Inputs_Yearly!$G$26+Inputs!$F$59*Inputs!$F$60+Inputs!$F$61</f>
        <v>28</v>
      </c>
      <c r="F46" s="14" t="n">
        <f aca="false">Inputs_Yearly!$H$22*Inputs_Yearly!$H$26+Inputs!$F$59*Inputs!$F$60+Inputs!$F$61</f>
        <v>22.6</v>
      </c>
      <c r="G46" s="14" t="n">
        <f aca="false">Inputs_Yearly!$I$22*Inputs_Yearly!$I$26+Inputs!$F$59*Inputs!$F$60+Inputs!$F$61</f>
        <v>20</v>
      </c>
    </row>
    <row r="47" customFormat="false" ht="15" hidden="false" customHeight="false" outlineLevel="0" collapsed="false">
      <c r="A47" s="12" t="s">
        <v>377</v>
      </c>
      <c r="B47" s="10" t="s">
        <v>178</v>
      </c>
      <c r="C47" s="24" t="n">
        <f aca="false">(C5+C6)*C44+C7*Inputs!$F$56</f>
        <v>0</v>
      </c>
      <c r="D47" s="24" t="n">
        <f aca="false">(D5+D6)*D44+D7*Inputs!$F$56</f>
        <v>897</v>
      </c>
      <c r="E47" s="24" t="n">
        <f aca="false">(E5+E6)*E44+E7*Inputs!$F$56</f>
        <v>17290</v>
      </c>
      <c r="F47" s="24" t="n">
        <f aca="false">(F5+F6)*F44+F7*Inputs!$F$56</f>
        <v>68320</v>
      </c>
      <c r="G47" s="24" t="n">
        <f aca="false">(G5+G6)*G44+G7*Inputs!$F$56</f>
        <v>179150</v>
      </c>
      <c r="H47" s="24" t="n">
        <f aca="false">SUM(C47:G47)</f>
        <v>265657</v>
      </c>
    </row>
    <row r="48" customFormat="false" ht="15" hidden="false" customHeight="false" outlineLevel="0" collapsed="false">
      <c r="A48" s="10" t="s">
        <v>378</v>
      </c>
      <c r="B48" s="10" t="s">
        <v>178</v>
      </c>
      <c r="C48" s="24" t="n">
        <f aca="false">(C5+C6+C7)*Inputs!$F$57</f>
        <v>0</v>
      </c>
      <c r="D48" s="24" t="n">
        <f aca="false">(D5+D6+D7)*Inputs!$F$57</f>
        <v>75</v>
      </c>
      <c r="E48" s="24" t="n">
        <f aca="false">(E5+E6+E7)*Inputs!$F$57</f>
        <v>1625</v>
      </c>
      <c r="F48" s="24" t="n">
        <f aca="false">(F5+F6+F7)*Inputs!$F$57</f>
        <v>7000</v>
      </c>
      <c r="G48" s="24" t="n">
        <f aca="false">(G5+G6+G7)*Inputs!$F$57</f>
        <v>21550</v>
      </c>
      <c r="H48" s="24" t="n">
        <f aca="false">SUM(C48:G48)</f>
        <v>30250</v>
      </c>
    </row>
    <row r="49" customFormat="false" ht="15" hidden="false" customHeight="false" outlineLevel="0" collapsed="false">
      <c r="A49" s="12" t="s">
        <v>379</v>
      </c>
      <c r="B49" s="10" t="s">
        <v>178</v>
      </c>
      <c r="C49" s="24" t="n">
        <f aca="false">(C17+C19)*C45</f>
        <v>0</v>
      </c>
      <c r="D49" s="24" t="n">
        <f aca="false">(D17+D19)*D45</f>
        <v>2940</v>
      </c>
      <c r="E49" s="24" t="n">
        <f aca="false">(E17+E19)*E45</f>
        <v>41769</v>
      </c>
      <c r="F49" s="24" t="n">
        <f aca="false">(F17+F19)*F45</f>
        <v>220036.4</v>
      </c>
      <c r="G49" s="24" t="n">
        <f aca="false">(G17+G19)*G45</f>
        <v>506535.68</v>
      </c>
      <c r="H49" s="24" t="n">
        <f aca="false">SUM(C49:G49)</f>
        <v>771281.08</v>
      </c>
    </row>
    <row r="50" customFormat="false" ht="15" hidden="false" customHeight="false" outlineLevel="0" collapsed="false">
      <c r="A50" s="10" t="s">
        <v>380</v>
      </c>
      <c r="B50" s="10" t="s">
        <v>178</v>
      </c>
      <c r="C50" s="24" t="n">
        <f aca="false">C13*Inputs_Yearly!$E$18</f>
        <v>0</v>
      </c>
      <c r="D50" s="24" t="n">
        <f aca="false">D13*Inputs_Yearly!$F$18</f>
        <v>255</v>
      </c>
      <c r="E50" s="24" t="n">
        <f aca="false">E13*Inputs_Yearly!$G$18</f>
        <v>2873</v>
      </c>
      <c r="F50" s="24" t="n">
        <f aca="false">F13*Inputs_Yearly!$H$18</f>
        <v>9088.46</v>
      </c>
      <c r="G50" s="24" t="n">
        <f aca="false">G13*Inputs_Yearly!$I$18</f>
        <v>18995.088</v>
      </c>
      <c r="H50" s="24" t="n">
        <f aca="false">SUM(C50:G50)</f>
        <v>31211.548</v>
      </c>
    </row>
    <row r="51" customFormat="false" ht="15" hidden="false" customHeight="false" outlineLevel="0" collapsed="false">
      <c r="A51" s="12" t="s">
        <v>381</v>
      </c>
      <c r="B51" s="10" t="s">
        <v>178</v>
      </c>
      <c r="C51" s="14" t="n">
        <f aca="false">Inputs!$F$58*C36</f>
        <v>0</v>
      </c>
      <c r="D51" s="14" t="n">
        <f aca="false">Inputs!$F$58*D36</f>
        <v>65.709</v>
      </c>
      <c r="E51" s="14" t="n">
        <f aca="false">Inputs!$F$58*E36</f>
        <v>2016.90125</v>
      </c>
      <c r="F51" s="14" t="n">
        <f aca="false">Inputs!$F$58*F36</f>
        <v>11799.188863</v>
      </c>
      <c r="G51" s="14" t="n">
        <f aca="false">Inputs!$F$58*G36</f>
        <v>31236.72572944</v>
      </c>
      <c r="H51" s="24" t="n">
        <f aca="false">SUM(C51:G51)</f>
        <v>45118.52484244</v>
      </c>
    </row>
    <row r="52" customFormat="false" ht="15" hidden="false" customHeight="false" outlineLevel="0" collapsed="false">
      <c r="A52" s="12" t="s">
        <v>382</v>
      </c>
      <c r="B52" s="10" t="s">
        <v>178</v>
      </c>
      <c r="C52" s="24" t="n">
        <f aca="false">C18*C45</f>
        <v>0</v>
      </c>
      <c r="D52" s="24" t="n">
        <f aca="false">D18*D45</f>
        <v>1260</v>
      </c>
      <c r="E52" s="24" t="n">
        <f aca="false">E18*E45</f>
        <v>17901</v>
      </c>
      <c r="F52" s="24" t="n">
        <f aca="false">F18*F45</f>
        <v>0</v>
      </c>
      <c r="G52" s="24" t="n">
        <f aca="false">G18*G45</f>
        <v>0</v>
      </c>
      <c r="H52" s="24" t="n">
        <f aca="false">SUM(C52:G52)</f>
        <v>19161</v>
      </c>
    </row>
    <row r="53" customFormat="false" ht="15" hidden="false" customHeight="false" outlineLevel="0" collapsed="false">
      <c r="A53" s="12" t="s">
        <v>383</v>
      </c>
      <c r="B53" s="10" t="s">
        <v>178</v>
      </c>
      <c r="C53" s="24" t="n">
        <f aca="false">0+C52</f>
        <v>0</v>
      </c>
      <c r="D53" s="24" t="n">
        <f aca="false">C53+D52</f>
        <v>1260</v>
      </c>
      <c r="E53" s="24" t="n">
        <f aca="false">D53+E52</f>
        <v>19161</v>
      </c>
      <c r="F53" s="24" t="n">
        <f aca="false">E53+F52</f>
        <v>19161</v>
      </c>
      <c r="G53" s="24" t="n">
        <f aca="false">F53+G52</f>
        <v>19161</v>
      </c>
    </row>
    <row r="54" customFormat="false" ht="15" hidden="false" customHeight="false" outlineLevel="0" collapsed="false">
      <c r="A54" s="12" t="s">
        <v>384</v>
      </c>
      <c r="B54" s="10" t="s">
        <v>178</v>
      </c>
      <c r="C54" s="24" t="n">
        <f aca="false">0*(1-Inputs!$F$68)/5+C52*(1-Inputs!$F$68)/5*0.5</f>
        <v>0</v>
      </c>
      <c r="D54" s="24" t="n">
        <f aca="false">C53*(1-Inputs!$F$68)/5+D52*(1-Inputs!$F$68)/5*0.5</f>
        <v>107.1</v>
      </c>
      <c r="E54" s="24" t="n">
        <f aca="false">D53*(1-Inputs!$F$68)/5+E52*(1-Inputs!$F$68)/5*0.5</f>
        <v>1735.785</v>
      </c>
      <c r="F54" s="24" t="n">
        <f aca="false">E53*(1-Inputs!$F$68)/5+F52*(1-Inputs!$F$68)/5*0.5</f>
        <v>3257.37</v>
      </c>
      <c r="G54" s="24" t="n">
        <f aca="false">F53*(1-Inputs!$F$68)/5+G52*(1-Inputs!$F$68)/5*0.5</f>
        <v>3257.37</v>
      </c>
      <c r="H54" s="24" t="n">
        <f aca="false">SUM(C54:G54)</f>
        <v>8357.625</v>
      </c>
    </row>
    <row r="55" customFormat="false" ht="15" hidden="false" customHeight="false" outlineLevel="0" collapsed="false">
      <c r="A55" s="12" t="s">
        <v>385</v>
      </c>
      <c r="B55" s="10" t="s">
        <v>178</v>
      </c>
      <c r="C55" s="24" t="n">
        <f aca="false">(C22*Inputs!$F$45+C24+C26)*C46</f>
        <v>0</v>
      </c>
      <c r="D55" s="24" t="n">
        <f aca="false">(D22*Inputs!$F$45+D24+D26)*D46</f>
        <v>43.845</v>
      </c>
      <c r="E55" s="24" t="n">
        <f aca="false">(E22*Inputs!$F$45+E24+E26)*E46</f>
        <v>677.425</v>
      </c>
      <c r="F55" s="24" t="n">
        <f aca="false">(F22*Inputs!$F$45+F24+F26)*F46</f>
        <v>3296.684035</v>
      </c>
      <c r="G55" s="24" t="n">
        <f aca="false">(G22*Inputs!$F$45+G24+G26)*G46</f>
        <v>10201.45516</v>
      </c>
      <c r="H55" s="24" t="n">
        <f aca="false">SUM(C55:G55)</f>
        <v>14219.409195</v>
      </c>
    </row>
    <row r="56" customFormat="false" ht="15" hidden="false" customHeight="false" outlineLevel="0" collapsed="false">
      <c r="A56" s="12" t="s">
        <v>386</v>
      </c>
      <c r="B56" s="10" t="s">
        <v>178</v>
      </c>
      <c r="C56" s="24" t="n">
        <f aca="false">C39*Inputs!$F$62+(C24+C26)*C33*Inputs!$F$62</f>
        <v>0</v>
      </c>
      <c r="D56" s="24" t="n">
        <f aca="false">D39*Inputs!$F$62+(D24+D26)*D33*Inputs!$F$62</f>
        <v>12.8736</v>
      </c>
      <c r="E56" s="24" t="n">
        <f aca="false">E39*Inputs!$F$62+(E24+E26)*E33*Inputs!$F$62</f>
        <v>262.836</v>
      </c>
      <c r="F56" s="24" t="n">
        <f aca="false">F39*Inputs!$F$62+(F24+F26)*F33*Inputs!$F$62</f>
        <v>1557.247536</v>
      </c>
      <c r="G56" s="24" t="n">
        <f aca="false">G39*Inputs!$F$62+(G24+G26)*G33*Inputs!$F$62</f>
        <v>5413.68643968</v>
      </c>
      <c r="H56" s="24" t="n">
        <f aca="false">SUM(C56:G56)</f>
        <v>7246.64357568</v>
      </c>
    </row>
    <row r="57" customFormat="false" ht="15" hidden="false" customHeight="false" outlineLevel="0" collapsed="false">
      <c r="A57" s="12" t="s">
        <v>387</v>
      </c>
      <c r="B57" s="10" t="s">
        <v>178</v>
      </c>
      <c r="C57" s="24" t="n">
        <f aca="false">0*Inputs!$F$47*Inputs!$F$46*Inputs!$F$63+0*Inputs!$F$49*Inputs!$F$48*Inputs!$F$64</f>
        <v>0</v>
      </c>
      <c r="D57" s="24" t="n">
        <f aca="false">C13*Inputs!$F$47*Inputs!$F$46*Inputs!$F$63+0*Inputs!$F$49*Inputs!$F$48*Inputs!$F$64</f>
        <v>0</v>
      </c>
      <c r="E57" s="24" t="n">
        <f aca="false">D13*Inputs!$F$47*Inputs!$F$46*Inputs!$F$63+C13*Inputs!$F$49*Inputs!$F$48*Inputs!$F$64</f>
        <v>3.6</v>
      </c>
      <c r="F57" s="24" t="n">
        <f aca="false">E13*Inputs!$F$47*Inputs!$F$46*Inputs!$F$63+D13*Inputs!$F$49*Inputs!$F$48*Inputs!$F$64</f>
        <v>93.3</v>
      </c>
      <c r="G57" s="24" t="n">
        <f aca="false">F13*Inputs!$F$47*Inputs!$F$46*Inputs!$F$63+E13*Inputs!$F$49*Inputs!$F$48*Inputs!$F$64</f>
        <v>784.254</v>
      </c>
      <c r="H57" s="24" t="n">
        <f aca="false">SUM(C57:G57)</f>
        <v>881.154</v>
      </c>
    </row>
    <row r="58" customFormat="false" ht="15" hidden="false" customHeight="false" outlineLevel="0" collapsed="false">
      <c r="A58" s="12" t="s">
        <v>388</v>
      </c>
      <c r="B58" s="10" t="s">
        <v>178</v>
      </c>
      <c r="C58" s="24" t="n">
        <f aca="false">C47+C48+C49+C50+C51+C54+C55+C56+C57</f>
        <v>0</v>
      </c>
      <c r="D58" s="24" t="n">
        <f aca="false">D47+D48+D49+D50+D51+D54+D55+D56+D57</f>
        <v>4396.5276</v>
      </c>
      <c r="E58" s="24" t="n">
        <f aca="false">E47+E48+E49+E50+E51+E54+E55+E56+E57</f>
        <v>68253.54725</v>
      </c>
      <c r="F58" s="24" t="n">
        <f aca="false">F47+F48+F49+F50+F51+F54+F55+F56+F57</f>
        <v>324448.650434</v>
      </c>
      <c r="G58" s="24" t="n">
        <f aca="false">G47+G48+G49+G50+G51+G54+G55+G56+G57</f>
        <v>777124.25932912</v>
      </c>
      <c r="H58" s="24" t="n">
        <f aca="false">SUM(C58:G58)</f>
        <v>1174222.98461312</v>
      </c>
    </row>
    <row r="59" customFormat="false" ht="15" hidden="false" customHeight="false" outlineLevel="0" collapsed="false">
      <c r="A59" s="25" t="s">
        <v>31</v>
      </c>
      <c r="B59" s="10" t="s">
        <v>178</v>
      </c>
      <c r="C59" s="24" t="n">
        <f aca="false">C41-C58</f>
        <v>0</v>
      </c>
      <c r="D59" s="24" t="n">
        <f aca="false">D41-D58</f>
        <v>-1319.5176</v>
      </c>
      <c r="E59" s="24" t="n">
        <f aca="false">E41-E58</f>
        <v>28092.74025</v>
      </c>
      <c r="F59" s="24" t="n">
        <f aca="false">F41-F58</f>
        <v>176485.466216</v>
      </c>
      <c r="G59" s="24" t="n">
        <f aca="false">G41-G58</f>
        <v>562390.77712288</v>
      </c>
      <c r="H59" s="24" t="n">
        <f aca="false">SUM(C59:G59)</f>
        <v>765649.46598888</v>
      </c>
    </row>
    <row r="60" customFormat="false" ht="15" hidden="false" customHeight="false" outlineLevel="0" collapsed="false">
      <c r="A60" s="10" t="s">
        <v>32</v>
      </c>
      <c r="B60" s="12" t="s">
        <v>33</v>
      </c>
      <c r="C60" s="26" t="n">
        <f aca="false">IF(C41=0,0,C59/C41)</f>
        <v>0</v>
      </c>
      <c r="D60" s="26" t="n">
        <f aca="false">IF(D41=0,0,D59/D41)</f>
        <v>-0.428831105521269</v>
      </c>
      <c r="E60" s="26" t="n">
        <f aca="false">IF(E41=0,0,E59/E41)</f>
        <v>0.291580931439626</v>
      </c>
      <c r="F60" s="26" t="n">
        <f aca="false">IF(F41=0,0,F59/F41)</f>
        <v>0.352312730057692</v>
      </c>
      <c r="G60" s="26" t="n">
        <f aca="false">IF(G41=0,0,G59/G41)</f>
        <v>0.419846557760558</v>
      </c>
    </row>
    <row r="61" customFormat="false" ht="15" hidden="false" customHeight="false" outlineLevel="0" collapsed="false">
      <c r="A61" s="15" t="s">
        <v>389</v>
      </c>
      <c r="B61" s="16"/>
      <c r="C61" s="16"/>
      <c r="D61" s="16"/>
      <c r="E61" s="16"/>
      <c r="F61" s="16"/>
      <c r="G61" s="16"/>
      <c r="H61" s="16"/>
    </row>
    <row r="62" customFormat="false" ht="15" hidden="false" customHeight="false" outlineLevel="0" collapsed="false">
      <c r="A62" s="12" t="s">
        <v>390</v>
      </c>
      <c r="B62" s="10" t="s">
        <v>178</v>
      </c>
      <c r="C62" s="14" t="n">
        <f aca="false">Inputs!$F$65*C6*(Inputs!$F$30*C30+C9*(Inputs!$F$32+Inputs!$F$33)*C30)</f>
        <v>0</v>
      </c>
      <c r="D62" s="14" t="n">
        <f aca="false">Inputs!$F$65*D6*(Inputs!$F$30*D30+D9*(Inputs!$F$32+Inputs!$F$33)*D30)</f>
        <v>0</v>
      </c>
      <c r="E62" s="14" t="n">
        <f aca="false">Inputs!$F$65*E6*(Inputs!$F$30*E30+E9*(Inputs!$F$32+Inputs!$F$33)*E30)</f>
        <v>4818.15</v>
      </c>
      <c r="F62" s="14" t="n">
        <f aca="false">Inputs!$F$65*F6*(Inputs!$F$30*F30+F9*(Inputs!$F$32+Inputs!$F$33)*F30)</f>
        <v>35333.1</v>
      </c>
      <c r="G62" s="14" t="n">
        <f aca="false">Inputs!$F$65*G6*(Inputs!$F$30*G30+G9*(Inputs!$F$32+Inputs!$F$33)*G30)</f>
        <v>96363</v>
      </c>
      <c r="H62" s="24" t="n">
        <f aca="false">SUM(C62:G62)</f>
        <v>136514.25</v>
      </c>
    </row>
    <row r="63" customFormat="false" ht="15" hidden="false" customHeight="false" outlineLevel="0" collapsed="false">
      <c r="A63" s="10" t="s">
        <v>391</v>
      </c>
      <c r="B63" s="10" t="s">
        <v>178</v>
      </c>
      <c r="C63" s="24" t="n">
        <f aca="false">C5*Inputs!$F$66</f>
        <v>0</v>
      </c>
      <c r="D63" s="24" t="n">
        <f aca="false">D5*Inputs!$F$66</f>
        <v>420</v>
      </c>
      <c r="E63" s="24" t="n">
        <f aca="false">E5*Inputs!$F$66</f>
        <v>4900</v>
      </c>
      <c r="F63" s="24" t="n">
        <f aca="false">F5*Inputs!$F$66</f>
        <v>8400</v>
      </c>
      <c r="G63" s="24" t="n">
        <f aca="false">G5*Inputs!$F$66</f>
        <v>9800</v>
      </c>
      <c r="H63" s="24" t="n">
        <f aca="false">SUM(C63:G63)</f>
        <v>23520</v>
      </c>
    </row>
    <row r="64" customFormat="false" ht="15" hidden="false" customHeight="false" outlineLevel="0" collapsed="false">
      <c r="A64" s="10" t="s">
        <v>392</v>
      </c>
      <c r="B64" s="10" t="s">
        <v>178</v>
      </c>
      <c r="C64" s="14" t="n">
        <f aca="false">Inputs_Yearly!$E$50*Inputs!$F$67</f>
        <v>0</v>
      </c>
      <c r="D64" s="14" t="n">
        <f aca="false">Inputs_Yearly!$F$50*Inputs!$F$67</f>
        <v>0</v>
      </c>
      <c r="E64" s="14" t="n">
        <f aca="false">Inputs_Yearly!$G$50*Inputs!$F$67</f>
        <v>4000</v>
      </c>
      <c r="F64" s="14" t="n">
        <f aca="false">Inputs_Yearly!$H$50*Inputs!$F$67</f>
        <v>6000</v>
      </c>
      <c r="G64" s="14" t="n">
        <f aca="false">Inputs_Yearly!$I$50*Inputs!$F$67</f>
        <v>8000</v>
      </c>
      <c r="H64" s="24" t="n">
        <f aca="false">SUM(C64:G64)</f>
        <v>18000</v>
      </c>
    </row>
    <row r="65" customFormat="false" ht="15" hidden="false" customHeight="false" outlineLevel="0" collapsed="false">
      <c r="A65" s="18" t="s">
        <v>393</v>
      </c>
      <c r="B65" s="10" t="s">
        <v>178</v>
      </c>
      <c r="C65" s="24" t="n">
        <f aca="false">C59-C62-C63-C64</f>
        <v>0</v>
      </c>
      <c r="D65" s="24" t="n">
        <f aca="false">D59-D62-D63-D64</f>
        <v>-1739.5176</v>
      </c>
      <c r="E65" s="24" t="n">
        <f aca="false">E59-E62-E63-E64</f>
        <v>14374.59025</v>
      </c>
      <c r="F65" s="24" t="n">
        <f aca="false">F59-F62-F63-F64</f>
        <v>126752.366216</v>
      </c>
      <c r="G65" s="24" t="n">
        <f aca="false">G59-G62-G63-G64</f>
        <v>448227.77712288</v>
      </c>
      <c r="H65" s="24" t="n">
        <f aca="false">SUM(C65:G65)</f>
        <v>587615.21598888</v>
      </c>
    </row>
    <row r="66" customFormat="false" ht="15" hidden="false" customHeight="false" outlineLevel="0" collapsed="false">
      <c r="A66" s="10" t="s">
        <v>394</v>
      </c>
      <c r="B66" s="10" t="s">
        <v>178</v>
      </c>
      <c r="C66" s="14" t="n">
        <f aca="false">Inputs_Yearly!$E$54*Inputs!$F$77</f>
        <v>37400</v>
      </c>
      <c r="D66" s="14" t="n">
        <f aca="false">Inputs_Yearly!$F$54*Inputs!$F$77</f>
        <v>59500</v>
      </c>
      <c r="E66" s="14" t="n">
        <f aca="false">Inputs_Yearly!$G$54*Inputs!$F$77</f>
        <v>170000</v>
      </c>
      <c r="F66" s="14" t="n">
        <f aca="false">Inputs_Yearly!$H$54*Inputs!$F$77</f>
        <v>272000</v>
      </c>
      <c r="G66" s="14" t="n">
        <f aca="false">Inputs_Yearly!$I$54*Inputs!$F$77</f>
        <v>357000</v>
      </c>
      <c r="H66" s="24" t="n">
        <f aca="false">SUM(C66:G66)</f>
        <v>895900</v>
      </c>
    </row>
    <row r="67" customFormat="false" ht="15" hidden="false" customHeight="false" outlineLevel="0" collapsed="false">
      <c r="A67" s="10" t="s">
        <v>395</v>
      </c>
      <c r="B67" s="10" t="s">
        <v>178</v>
      </c>
      <c r="C67" s="14" t="n">
        <f aca="false">Inputs_Yearly!$E$58+Inputs_Yearly!$E$62+Inputs_Yearly!$E$66+Inputs_Yearly!$E$70+Inputs_Yearly!$E$74+Inputs_Yearly!$E$78+Inputs_Yearly!$E$82</f>
        <v>29500</v>
      </c>
      <c r="D67" s="14" t="n">
        <f aca="false">Inputs_Yearly!$F$58+Inputs_Yearly!$F$62+Inputs_Yearly!$F$66+Inputs_Yearly!$F$70+Inputs_Yearly!$F$74+Inputs_Yearly!$F$78+Inputs_Yearly!$F$82</f>
        <v>27500</v>
      </c>
      <c r="E67" s="14" t="n">
        <f aca="false">Inputs_Yearly!$G$58+Inputs_Yearly!$G$62+Inputs_Yearly!$G$66+Inputs_Yearly!$G$70+Inputs_Yearly!$G$74+Inputs_Yearly!$G$78+Inputs_Yearly!$G$82</f>
        <v>135000</v>
      </c>
      <c r="F67" s="14" t="n">
        <f aca="false">Inputs_Yearly!$H$58+Inputs_Yearly!$H$62+Inputs_Yearly!$H$66+Inputs_Yearly!$H$70+Inputs_Yearly!$H$74+Inputs_Yearly!$H$78+Inputs_Yearly!$H$82</f>
        <v>167000</v>
      </c>
      <c r="G67" s="14" t="n">
        <f aca="false">Inputs_Yearly!$I$58+Inputs_Yearly!$I$62+Inputs_Yearly!$I$66+Inputs_Yearly!$I$70+Inputs_Yearly!$I$74+Inputs_Yearly!$I$78+Inputs_Yearly!$I$82</f>
        <v>210000</v>
      </c>
      <c r="H67" s="24" t="n">
        <f aca="false">SUM(C67:G67)</f>
        <v>569000</v>
      </c>
    </row>
    <row r="68" customFormat="false" ht="15" hidden="false" customHeight="false" outlineLevel="0" collapsed="false">
      <c r="A68" s="12" t="s">
        <v>396</v>
      </c>
      <c r="B68" s="10" t="s">
        <v>178</v>
      </c>
      <c r="C68" s="24" t="n">
        <f aca="false">C66+C67</f>
        <v>66900</v>
      </c>
      <c r="D68" s="24" t="n">
        <f aca="false">D66+D67</f>
        <v>87000</v>
      </c>
      <c r="E68" s="24" t="n">
        <f aca="false">E66+E67</f>
        <v>305000</v>
      </c>
      <c r="F68" s="24" t="n">
        <f aca="false">F66+F67</f>
        <v>439000</v>
      </c>
      <c r="G68" s="24" t="n">
        <f aca="false">G66+G67</f>
        <v>567000</v>
      </c>
      <c r="H68" s="24" t="n">
        <f aca="false">SUM(C68:G68)</f>
        <v>1464900</v>
      </c>
    </row>
    <row r="69" customFormat="false" ht="15" hidden="false" customHeight="false" outlineLevel="0" collapsed="false">
      <c r="A69" s="25" t="s">
        <v>397</v>
      </c>
      <c r="B69" s="10" t="s">
        <v>178</v>
      </c>
      <c r="C69" s="24" t="n">
        <f aca="false">C65-C68</f>
        <v>-66900</v>
      </c>
      <c r="D69" s="24" t="n">
        <f aca="false">D65-D68</f>
        <v>-88739.5176</v>
      </c>
      <c r="E69" s="24" t="n">
        <f aca="false">E65-E68</f>
        <v>-290625.40975</v>
      </c>
      <c r="F69" s="24" t="n">
        <f aca="false">F65-F68</f>
        <v>-312247.633784</v>
      </c>
      <c r="G69" s="24" t="n">
        <f aca="false">G65-G68</f>
        <v>-118772.22287712</v>
      </c>
      <c r="H69" s="24" t="n">
        <f aca="false">SUM(C69:G69)</f>
        <v>-877284.78401112</v>
      </c>
    </row>
    <row r="70" customFormat="false" ht="15" hidden="false" customHeight="false" outlineLevel="0" collapsed="false">
      <c r="A70" s="10" t="s">
        <v>398</v>
      </c>
      <c r="B70" s="10" t="s">
        <v>178</v>
      </c>
      <c r="C70" s="24" t="n">
        <f aca="false">C69+C54-C52</f>
        <v>-66900</v>
      </c>
      <c r="D70" s="24" t="n">
        <f aca="false">D69+D54-D52</f>
        <v>-89892.4176</v>
      </c>
      <c r="E70" s="24" t="n">
        <f aca="false">E69+E54-E52</f>
        <v>-306790.62475</v>
      </c>
      <c r="F70" s="24" t="n">
        <f aca="false">F69+F54-F52</f>
        <v>-308990.263784</v>
      </c>
      <c r="G70" s="24" t="n">
        <f aca="false">G69+G54-G52</f>
        <v>-115514.85287712</v>
      </c>
      <c r="H70" s="24" t="n">
        <f aca="false">SUM(C70:G70)</f>
        <v>-888088.15901112</v>
      </c>
    </row>
    <row r="71" customFormat="false" ht="15" hidden="false" customHeight="false" outlineLevel="0" collapsed="false">
      <c r="A71" s="10" t="s">
        <v>37</v>
      </c>
      <c r="B71" s="10" t="s">
        <v>178</v>
      </c>
      <c r="C71" s="24" t="n">
        <f aca="false">0+C70</f>
        <v>-66900</v>
      </c>
      <c r="D71" s="24" t="n">
        <f aca="false">C71+D70</f>
        <v>-156792.4176</v>
      </c>
      <c r="E71" s="24" t="n">
        <f aca="false">D71+E70</f>
        <v>-463583.04235</v>
      </c>
      <c r="F71" s="24" t="n">
        <f aca="false">E71+F70</f>
        <v>-772573.306134</v>
      </c>
      <c r="G71" s="24" t="n">
        <f aca="false">F71+G70</f>
        <v>-888088.15901112</v>
      </c>
    </row>
    <row r="72" customFormat="false" ht="15" hidden="false" customHeight="false" outlineLevel="0" collapsed="false">
      <c r="A72" s="15" t="s">
        <v>399</v>
      </c>
      <c r="B72" s="16"/>
      <c r="C72" s="16"/>
      <c r="D72" s="16"/>
      <c r="E72" s="16"/>
      <c r="F72" s="16"/>
      <c r="G72" s="16"/>
      <c r="H72" s="16"/>
    </row>
    <row r="73" customFormat="false" ht="15" hidden="false" customHeight="false" outlineLevel="0" collapsed="false">
      <c r="A73" s="12" t="s">
        <v>400</v>
      </c>
      <c r="B73" s="10" t="s">
        <v>178</v>
      </c>
      <c r="C73" s="24" t="n">
        <f aca="false">C34+C35</f>
        <v>0</v>
      </c>
      <c r="D73" s="24" t="n">
        <f aca="false">D34+D35</f>
        <v>954</v>
      </c>
      <c r="E73" s="24" t="n">
        <f aca="false">E34+E35</f>
        <v>33670</v>
      </c>
      <c r="F73" s="24" t="n">
        <f aca="false">F34+F35</f>
        <v>145133.6</v>
      </c>
      <c r="G73" s="24" t="n">
        <f aca="false">G34+G35</f>
        <v>394393.568</v>
      </c>
      <c r="H73" s="24" t="n">
        <f aca="false">SUM(C73:G73)</f>
        <v>574151.168</v>
      </c>
    </row>
    <row r="74" customFormat="false" ht="15" hidden="false" customHeight="false" outlineLevel="0" collapsed="false">
      <c r="A74" s="12" t="s">
        <v>401</v>
      </c>
      <c r="B74" s="10" t="s">
        <v>178</v>
      </c>
      <c r="C74" s="24" t="n">
        <f aca="false">C37+C38+C39</f>
        <v>0</v>
      </c>
      <c r="D74" s="24" t="n">
        <f aca="false">D37+D38+D39</f>
        <v>245.61</v>
      </c>
      <c r="E74" s="24" t="n">
        <f aca="false">E37+E38+E39</f>
        <v>5014.5375</v>
      </c>
      <c r="F74" s="24" t="n">
        <f aca="false">F37+F38+F39</f>
        <v>17957.83485</v>
      </c>
      <c r="G74" s="24" t="n">
        <f aca="false">G37+G38+G39</f>
        <v>48668.550468</v>
      </c>
      <c r="H74" s="24" t="n">
        <f aca="false">SUM(C74:G74)</f>
        <v>71886.532818</v>
      </c>
    </row>
    <row r="75" customFormat="false" ht="15" hidden="false" customHeight="false" outlineLevel="0" collapsed="false">
      <c r="A75" s="12" t="s">
        <v>44</v>
      </c>
      <c r="B75" s="12" t="s">
        <v>33</v>
      </c>
      <c r="C75" s="26" t="n">
        <f aca="false">IF(C41=0,0,(C36+C74+C40)/C41)</f>
        <v>0</v>
      </c>
      <c r="D75" s="26" t="n">
        <f aca="false">IF(D41=0,0,(D36+D74+D40)/D41)</f>
        <v>0.689958758665068</v>
      </c>
      <c r="E75" s="26" t="n">
        <f aca="false">IF(E41=0,0,(E36+E74+E40)/E41)</f>
        <v>0.650531422915491</v>
      </c>
      <c r="F75" s="26" t="n">
        <f aca="false">IF(F41=0,0,(F36+F74+F40)/F41)</f>
        <v>0.7102740756198</v>
      </c>
      <c r="G75" s="26" t="n">
        <f aca="false">IF(G41=0,0,(G36+G74+G40)/G41)</f>
        <v>0.705569883676231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  <col collapsed="false" customWidth="true" hidden="false" outlineLevel="0" max="6" min="6" style="0" width="46"/>
  </cols>
  <sheetData>
    <row r="1" customFormat="false" ht="19.4" hidden="false" customHeight="false" outlineLevel="0" collapsed="false">
      <c r="A1" s="6" t="s">
        <v>406</v>
      </c>
    </row>
    <row r="2" customFormat="false" ht="15" hidden="false" customHeight="false" outlineLevel="0" collapsed="false">
      <c r="A2" s="7" t="s">
        <v>407</v>
      </c>
    </row>
    <row r="4" customFormat="false" ht="15" hidden="false" customHeight="false" outlineLevel="0" collapsed="false">
      <c r="A4" s="9" t="s">
        <v>49</v>
      </c>
      <c r="B4" s="9" t="s">
        <v>408</v>
      </c>
      <c r="C4" s="9" t="s">
        <v>409</v>
      </c>
      <c r="D4" s="8" t="s">
        <v>410</v>
      </c>
      <c r="E4" s="8" t="s">
        <v>411</v>
      </c>
      <c r="F4" s="9" t="s">
        <v>412</v>
      </c>
    </row>
    <row r="5" customFormat="false" ht="15" hidden="false" customHeight="false" outlineLevel="0" collapsed="false">
      <c r="A5" s="15" t="s">
        <v>413</v>
      </c>
      <c r="B5" s="16"/>
      <c r="C5" s="16"/>
      <c r="D5" s="16"/>
      <c r="E5" s="16"/>
      <c r="F5" s="16"/>
    </row>
    <row r="6" customFormat="false" ht="15" hidden="false" customHeight="false" outlineLevel="0" collapsed="false">
      <c r="A6" s="12" t="s">
        <v>414</v>
      </c>
      <c r="B6" s="11" t="n">
        <f aca="false">Inputs!$E$30</f>
        <v>450</v>
      </c>
      <c r="C6" s="11" t="n">
        <f aca="false">Inputs!$E$30</f>
        <v>450</v>
      </c>
      <c r="D6" s="11" t="n">
        <f aca="false">Inputs!$E$30</f>
        <v>450</v>
      </c>
      <c r="E6" s="11" t="n">
        <f aca="false">Inputs!$E$30</f>
        <v>450</v>
      </c>
      <c r="F6" s="12" t="s">
        <v>415</v>
      </c>
    </row>
    <row r="7" customFormat="false" ht="15" hidden="false" customHeight="false" outlineLevel="0" collapsed="false">
      <c r="A7" s="10" t="s">
        <v>416</v>
      </c>
      <c r="B7" s="11" t="n">
        <f aca="false">Inputs!$E$33</f>
        <v>80</v>
      </c>
      <c r="C7" s="11" t="n">
        <f aca="false">Inputs!$E$33</f>
        <v>80</v>
      </c>
      <c r="D7" s="11" t="n">
        <f aca="false">Inputs!$E$33</f>
        <v>80</v>
      </c>
      <c r="E7" s="11" t="n">
        <f aca="false">Inputs!$E$33</f>
        <v>80</v>
      </c>
      <c r="F7" s="12" t="s">
        <v>415</v>
      </c>
    </row>
    <row r="8" customFormat="false" ht="15" hidden="false" customHeight="false" outlineLevel="0" collapsed="false">
      <c r="A8" s="12" t="s">
        <v>417</v>
      </c>
      <c r="B8" s="11" t="n">
        <f aca="false">Inputs!$E$32</f>
        <v>1490</v>
      </c>
      <c r="C8" s="11" t="n">
        <f aca="false">Inputs!$E$32</f>
        <v>1490</v>
      </c>
      <c r="D8" s="27" t="n">
        <f aca="false">0</f>
        <v>0</v>
      </c>
      <c r="E8" s="27" t="n">
        <f aca="false">0</f>
        <v>0</v>
      </c>
      <c r="F8" s="12" t="s">
        <v>415</v>
      </c>
    </row>
    <row r="9" customFormat="false" ht="15" hidden="false" customHeight="false" outlineLevel="0" collapsed="false">
      <c r="A9" s="12" t="s">
        <v>418</v>
      </c>
      <c r="B9" s="27" t="n">
        <f aca="false">0</f>
        <v>0</v>
      </c>
      <c r="C9" s="27" t="n">
        <f aca="false">0</f>
        <v>0</v>
      </c>
      <c r="D9" s="27" t="n">
        <f aca="false">Inputs!$E$34*Inputs!$E$35</f>
        <v>1980</v>
      </c>
      <c r="E9" s="27" t="n">
        <f aca="false">Inputs!$E$34*Inputs!$E$35</f>
        <v>1980</v>
      </c>
      <c r="F9" s="10" t="s">
        <v>419</v>
      </c>
    </row>
    <row r="10" customFormat="false" ht="15" hidden="false" customHeight="false" outlineLevel="0" collapsed="false">
      <c r="A10" s="12" t="s">
        <v>420</v>
      </c>
      <c r="B10" s="27" t="n">
        <f aca="false">5*Inputs!$E$36</f>
        <v>240</v>
      </c>
      <c r="C10" s="27" t="n">
        <f aca="false">5*Inputs!$E$36</f>
        <v>240</v>
      </c>
      <c r="D10" s="27" t="n">
        <f aca="false">0</f>
        <v>0</v>
      </c>
      <c r="E10" s="27" t="n">
        <f aca="false">0</f>
        <v>0</v>
      </c>
      <c r="F10" s="12" t="s">
        <v>421</v>
      </c>
    </row>
    <row r="11" customFormat="false" ht="15" hidden="false" customHeight="false" outlineLevel="0" collapsed="false">
      <c r="A11" s="12" t="s">
        <v>422</v>
      </c>
      <c r="B11" s="27" t="n">
        <f aca="false">5*Inputs!$E$44*(Inputs!$E$38*Inputs!$E$39+Inputs!$E$40*Inputs!$E$41+Inputs!$E$42*Inputs!$E$43)</f>
        <v>126</v>
      </c>
      <c r="C11" s="27" t="n">
        <f aca="false">5*Inputs!$E$44*(Inputs!$E$38*Inputs!$E$39+Inputs!$E$40*Inputs!$E$41+Inputs!$E$42*Inputs!$E$43)</f>
        <v>126</v>
      </c>
      <c r="D11" s="27" t="n">
        <f aca="false">5*Inputs!$E$44*(Inputs!$E$40*Inputs!$E$41+Inputs!$E$42*Inputs!$E$43)</f>
        <v>63</v>
      </c>
      <c r="E11" s="27" t="n">
        <f aca="false">5*Inputs!$E$44*(Inputs!$E$40*Inputs!$E$41+Inputs!$E$42*Inputs!$E$43)</f>
        <v>63</v>
      </c>
      <c r="F11" s="12" t="s">
        <v>423</v>
      </c>
    </row>
    <row r="12" customFormat="false" ht="15" hidden="false" customHeight="false" outlineLevel="0" collapsed="false">
      <c r="A12" s="12" t="s">
        <v>424</v>
      </c>
      <c r="B12" s="27" t="n">
        <f aca="false">Inputs!$E$47*Inputs!$E$46</f>
        <v>12</v>
      </c>
      <c r="C12" s="27" t="n">
        <f aca="false">Inputs!$E$47*Inputs!$E$46</f>
        <v>12</v>
      </c>
      <c r="D12" s="27" t="n">
        <f aca="false">Inputs!$E$47*Inputs!$E$46</f>
        <v>12</v>
      </c>
      <c r="E12" s="27" t="n">
        <f aca="false">Inputs!$E$47*Inputs!$E$46</f>
        <v>12</v>
      </c>
      <c r="F12" s="12"/>
    </row>
    <row r="13" customFormat="false" ht="15" hidden="false" customHeight="false" outlineLevel="0" collapsed="false">
      <c r="A13" s="12" t="s">
        <v>425</v>
      </c>
      <c r="B13" s="27" t="n">
        <f aca="false">Inputs!$E$49*Inputs!$E$48</f>
        <v>20</v>
      </c>
      <c r="C13" s="27" t="n">
        <f aca="false">Inputs!$E$49*Inputs!$E$48</f>
        <v>20</v>
      </c>
      <c r="D13" s="27" t="n">
        <f aca="false">Inputs!$E$49*Inputs!$E$48</f>
        <v>20</v>
      </c>
      <c r="E13" s="27" t="n">
        <f aca="false">Inputs!$E$49*Inputs!$E$48</f>
        <v>20</v>
      </c>
      <c r="F13" s="12"/>
    </row>
    <row r="14" customFormat="false" ht="15" hidden="false" customHeight="false" outlineLevel="0" collapsed="false">
      <c r="A14" s="18" t="s">
        <v>426</v>
      </c>
      <c r="B14" s="27" t="n">
        <f aca="false">B6+B7+B8+B9+B10+B11+B12+B13</f>
        <v>2418</v>
      </c>
      <c r="C14" s="27" t="n">
        <f aca="false">C6+C7+C8+C9+C10+C11+C12+C13</f>
        <v>2418</v>
      </c>
      <c r="D14" s="27" t="n">
        <f aca="false">D6+D7+D8+D9+D10+D11+D12+D13</f>
        <v>2605</v>
      </c>
      <c r="E14" s="27" t="n">
        <f aca="false">E6+E7+E8+E9+E10+E11+E12+E13</f>
        <v>2605</v>
      </c>
      <c r="F14" s="12"/>
    </row>
    <row r="15" customFormat="false" ht="15" hidden="false" customHeight="false" outlineLevel="0" collapsed="false">
      <c r="A15" s="15" t="s">
        <v>192</v>
      </c>
      <c r="B15" s="16"/>
      <c r="C15" s="16"/>
      <c r="D15" s="16"/>
      <c r="E15" s="16"/>
      <c r="F15" s="16"/>
    </row>
    <row r="16" customFormat="false" ht="15" hidden="false" customHeight="false" outlineLevel="0" collapsed="false">
      <c r="A16" s="12" t="s">
        <v>377</v>
      </c>
      <c r="B16" s="27" t="n">
        <f aca="false">Inputs!$E$53*(Inputs_Yearly!$G$9+Inputs!$E$54*(1-Inputs_Yearly!$G$9))+Inputs!$E$55*(1-Inputs_Yearly!$G$9)</f>
        <v>277</v>
      </c>
      <c r="C16" s="27" t="n">
        <f aca="false">Inputs!$E$53*(Inputs_Yearly!$I$9+Inputs!$E$54*(1-Inputs_Yearly!$I$9))+Inputs!$E$55*(1-Inputs_Yearly!$I$9)</f>
        <v>244</v>
      </c>
      <c r="D16" s="27" t="n">
        <f aca="false">Inputs!$E$53*(Inputs_Yearly!$G$9+Inputs!$E$54*(1-Inputs_Yearly!$G$9))+Inputs!$E$55*(1-Inputs_Yearly!$G$9)</f>
        <v>277</v>
      </c>
      <c r="E16" s="27" t="n">
        <f aca="false">Inputs!$E$53*(Inputs_Yearly!$I$9+Inputs!$E$54*(1-Inputs_Yearly!$I$9))+Inputs!$E$55*(1-Inputs_Yearly!$I$9)</f>
        <v>244</v>
      </c>
      <c r="F16" s="12" t="s">
        <v>427</v>
      </c>
    </row>
    <row r="17" customFormat="false" ht="15" hidden="false" customHeight="false" outlineLevel="0" collapsed="false">
      <c r="A17" s="10" t="s">
        <v>380</v>
      </c>
      <c r="B17" s="11" t="n">
        <f aca="false">Inputs_Yearly!$G$17</f>
        <v>60</v>
      </c>
      <c r="C17" s="11" t="n">
        <f aca="false">Inputs_Yearly!$I$17</f>
        <v>38</v>
      </c>
      <c r="D17" s="11" t="n">
        <f aca="false">Inputs_Yearly!$G$17</f>
        <v>60</v>
      </c>
      <c r="E17" s="11" t="n">
        <f aca="false">Inputs_Yearly!$I$17</f>
        <v>38</v>
      </c>
      <c r="F17" s="12"/>
    </row>
    <row r="18" customFormat="false" ht="15" hidden="false" customHeight="false" outlineLevel="0" collapsed="false">
      <c r="A18" s="10" t="s">
        <v>378</v>
      </c>
      <c r="B18" s="11" t="n">
        <f aca="false">Inputs!$E$57</f>
        <v>25</v>
      </c>
      <c r="C18" s="11" t="n">
        <f aca="false">Inputs!$E$57</f>
        <v>25</v>
      </c>
      <c r="D18" s="11" t="n">
        <f aca="false">Inputs!$E$57</f>
        <v>25</v>
      </c>
      <c r="E18" s="11" t="n">
        <f aca="false">Inputs!$E$57</f>
        <v>25</v>
      </c>
      <c r="F18" s="12"/>
    </row>
    <row r="19" customFormat="false" ht="15" hidden="false" customHeight="false" outlineLevel="0" collapsed="false">
      <c r="A19" s="12" t="s">
        <v>428</v>
      </c>
      <c r="B19" s="11" t="n">
        <f aca="false">Inputs_Yearly!$G$13</f>
        <v>1150</v>
      </c>
      <c r="C19" s="11" t="n">
        <f aca="false">Inputs_Yearly!$I$13</f>
        <v>900</v>
      </c>
      <c r="D19" s="27" t="n">
        <f aca="false">Inputs_Yearly!$G$13*(1-Inputs!$E$68)</f>
        <v>977.5</v>
      </c>
      <c r="E19" s="27" t="n">
        <f aca="false">Inputs_Yearly!$I$13*(1-Inputs!$E$68)</f>
        <v>765</v>
      </c>
      <c r="F19" s="12"/>
    </row>
    <row r="20" customFormat="false" ht="15" hidden="false" customHeight="false" outlineLevel="0" collapsed="false">
      <c r="A20" s="12" t="s">
        <v>429</v>
      </c>
      <c r="B20" s="27" t="n">
        <f aca="false">0</f>
        <v>0</v>
      </c>
      <c r="C20" s="27" t="n">
        <f aca="false">0</f>
        <v>0</v>
      </c>
      <c r="D20" s="27" t="n">
        <f aca="false">Inputs_Yearly!$G$13*(1+Inputs!$E$68)/2*Inputs!$E$69*5</f>
        <v>264.5</v>
      </c>
      <c r="E20" s="27" t="n">
        <f aca="false">Inputs_Yearly!$I$13*(1+Inputs!$E$68)/2*Inputs!$E$69*5</f>
        <v>207</v>
      </c>
      <c r="F20" s="10" t="s">
        <v>430</v>
      </c>
    </row>
    <row r="21" customFormat="false" ht="15" hidden="false" customHeight="false" outlineLevel="0" collapsed="false">
      <c r="A21" s="12" t="s">
        <v>381</v>
      </c>
      <c r="B21" s="27" t="n">
        <f aca="false">Inputs!$E$58*Inputs!$E$32</f>
        <v>59.6</v>
      </c>
      <c r="C21" s="27" t="n">
        <f aca="false">Inputs!$E$58*Inputs!$E$32</f>
        <v>59.6</v>
      </c>
      <c r="D21" s="27" t="n">
        <f aca="false">Inputs!$E$58*Inputs_Yearly!$G$13</f>
        <v>46</v>
      </c>
      <c r="E21" s="27" t="n">
        <f aca="false">Inputs!$E$58*Inputs_Yearly!$I$13</f>
        <v>36</v>
      </c>
      <c r="F21" s="12"/>
    </row>
    <row r="22" customFormat="false" ht="15" hidden="false" customHeight="false" outlineLevel="0" collapsed="false">
      <c r="A22" s="12" t="s">
        <v>431</v>
      </c>
      <c r="B22" s="27" t="n">
        <f aca="false">5*(Inputs_Yearly!$G$21*Inputs_Yearly!$G$25+Inputs!$E$59*Inputs!$E$60+Inputs!$E$61)</f>
        <v>184</v>
      </c>
      <c r="C22" s="27" t="n">
        <f aca="false">5*(Inputs_Yearly!$I$21*Inputs_Yearly!$I$25+Inputs!$E$59*Inputs!$E$60+Inputs!$E$61)</f>
        <v>134</v>
      </c>
      <c r="D22" s="27" t="n">
        <f aca="false">5*(Inputs_Yearly!$G$21*Inputs_Yearly!$G$25+Inputs!$E$59*Inputs!$E$60+Inputs!$E$61)</f>
        <v>184</v>
      </c>
      <c r="E22" s="27" t="n">
        <f aca="false">5*(Inputs_Yearly!$I$21*Inputs_Yearly!$I$25+Inputs!$E$59*Inputs!$E$60+Inputs!$E$61)</f>
        <v>134</v>
      </c>
      <c r="F22" s="12"/>
    </row>
    <row r="23" customFormat="false" ht="15" hidden="false" customHeight="false" outlineLevel="0" collapsed="false">
      <c r="A23" s="12" t="s">
        <v>432</v>
      </c>
      <c r="B23" s="27" t="n">
        <f aca="false">B11*Inputs!$E$62</f>
        <v>44.1</v>
      </c>
      <c r="C23" s="27" t="n">
        <f aca="false">C11*Inputs!$E$62</f>
        <v>44.1</v>
      </c>
      <c r="D23" s="27" t="n">
        <f aca="false">(D11+5*Inputs!$E$38*Inputs!$E$39)*Inputs!$E$62</f>
        <v>53.55</v>
      </c>
      <c r="E23" s="27" t="n">
        <f aca="false">(E11+5*Inputs!$E$38*Inputs!$E$39)*Inputs!$E$62</f>
        <v>53.55</v>
      </c>
      <c r="F23" s="12"/>
    </row>
    <row r="24" customFormat="false" ht="15" hidden="false" customHeight="false" outlineLevel="0" collapsed="false">
      <c r="A24" s="12" t="s">
        <v>387</v>
      </c>
      <c r="B24" s="27" t="n">
        <f aca="false">Inputs!$E$47*Inputs!$E$46*Inputs!$E$63+Inputs!$E$49*Inputs!$E$48*Inputs!$E$64</f>
        <v>10.2</v>
      </c>
      <c r="C24" s="27" t="n">
        <f aca="false">Inputs!$E$47*Inputs!$E$46*Inputs!$E$63+Inputs!$E$49*Inputs!$E$48*Inputs!$E$64</f>
        <v>10.2</v>
      </c>
      <c r="D24" s="27" t="n">
        <f aca="false">Inputs!$E$47*Inputs!$E$46*Inputs!$E$63+Inputs!$E$49*Inputs!$E$48*Inputs!$E$64</f>
        <v>10.2</v>
      </c>
      <c r="E24" s="27" t="n">
        <f aca="false">Inputs!$E$47*Inputs!$E$46*Inputs!$E$63+Inputs!$E$49*Inputs!$E$48*Inputs!$E$64</f>
        <v>10.2</v>
      </c>
      <c r="F24" s="12"/>
    </row>
    <row r="25" customFormat="false" ht="15" hidden="false" customHeight="false" outlineLevel="0" collapsed="false">
      <c r="A25" s="10" t="s">
        <v>391</v>
      </c>
      <c r="B25" s="11" t="n">
        <f aca="false">Inputs!$E$66</f>
        <v>150</v>
      </c>
      <c r="C25" s="11" t="n">
        <f aca="false">Inputs!$E$66</f>
        <v>150</v>
      </c>
      <c r="D25" s="11" t="n">
        <f aca="false">Inputs!$E$66</f>
        <v>150</v>
      </c>
      <c r="E25" s="11" t="n">
        <f aca="false">Inputs!$E$66</f>
        <v>150</v>
      </c>
      <c r="F25" s="12"/>
    </row>
    <row r="26" customFormat="false" ht="15" hidden="false" customHeight="false" outlineLevel="0" collapsed="false">
      <c r="A26" s="18" t="s">
        <v>433</v>
      </c>
      <c r="B26" s="27" t="n">
        <f aca="false">B16+B17+B18+B19+B20+B21+B22+B23+B24+B25</f>
        <v>1959.9</v>
      </c>
      <c r="C26" s="27" t="n">
        <f aca="false">C16+C17+C18+C19+C20+C21+C22+C23+C24+C25</f>
        <v>1604.9</v>
      </c>
      <c r="D26" s="27" t="n">
        <f aca="false">D16+D17+D18+D19+D20+D21+D22+D23+D24+D25</f>
        <v>2047.75</v>
      </c>
      <c r="E26" s="27" t="n">
        <f aca="false">E16+E17+E18+E19+E20+E21+E22+E23+E24+E25</f>
        <v>1662.75</v>
      </c>
      <c r="F26" s="12"/>
    </row>
    <row r="27" customFormat="false" ht="15" hidden="false" customHeight="false" outlineLevel="0" collapsed="false">
      <c r="A27" s="15" t="s">
        <v>434</v>
      </c>
      <c r="B27" s="16"/>
      <c r="C27" s="16"/>
      <c r="D27" s="16"/>
      <c r="E27" s="16"/>
      <c r="F27" s="16"/>
    </row>
    <row r="28" customFormat="false" ht="15" hidden="false" customHeight="false" outlineLevel="0" collapsed="false">
      <c r="A28" s="12" t="s">
        <v>435</v>
      </c>
      <c r="B28" s="27" t="n">
        <f aca="false">B6+B7+B8</f>
        <v>2020</v>
      </c>
      <c r="C28" s="27" t="n">
        <f aca="false">C6+C7+C8</f>
        <v>2020</v>
      </c>
      <c r="D28" s="27" t="n">
        <f aca="false">D6+D7</f>
        <v>530</v>
      </c>
      <c r="E28" s="27" t="n">
        <f aca="false">E6+E7</f>
        <v>530</v>
      </c>
      <c r="F28" s="12"/>
    </row>
    <row r="29" customFormat="false" ht="15" hidden="false" customHeight="false" outlineLevel="0" collapsed="false">
      <c r="A29" s="18" t="s">
        <v>436</v>
      </c>
      <c r="B29" s="27" t="n">
        <f aca="false">B14-(B26-B25)</f>
        <v>608.1</v>
      </c>
      <c r="C29" s="27" t="n">
        <f aca="false">C14-(C26-C25)</f>
        <v>963.1</v>
      </c>
      <c r="D29" s="27" t="n">
        <f aca="false">D14-(D26-D25)</f>
        <v>707.25</v>
      </c>
      <c r="E29" s="27" t="n">
        <f aca="false">E14-(E26-E25)</f>
        <v>1092.25</v>
      </c>
      <c r="F29" s="12"/>
    </row>
    <row r="30" customFormat="false" ht="15" hidden="false" customHeight="false" outlineLevel="0" collapsed="false">
      <c r="A30" s="18" t="s">
        <v>437</v>
      </c>
      <c r="B30" s="27" t="n">
        <f aca="false">B14-B26</f>
        <v>458.1</v>
      </c>
      <c r="C30" s="27" t="n">
        <f aca="false">C14-C26</f>
        <v>813.1</v>
      </c>
      <c r="D30" s="27" t="n">
        <f aca="false">D14-D26</f>
        <v>557.25</v>
      </c>
      <c r="E30" s="27" t="n">
        <f aca="false">E14-E26</f>
        <v>942.25</v>
      </c>
      <c r="F30" s="12"/>
    </row>
    <row r="31" customFormat="false" ht="15" hidden="false" customHeight="false" outlineLevel="0" collapsed="false">
      <c r="A31" s="18" t="s">
        <v>438</v>
      </c>
      <c r="B31" s="26" t="n">
        <f aca="false">IF(B14=0,0,B30/B14)</f>
        <v>0.189454094292804</v>
      </c>
      <c r="C31" s="26" t="n">
        <f aca="false">IF(C14=0,0,C30/C14)</f>
        <v>0.336269644334161</v>
      </c>
      <c r="D31" s="26" t="n">
        <f aca="false">IF(D14=0,0,D30/D14)</f>
        <v>0.213915547024952</v>
      </c>
      <c r="E31" s="26" t="n">
        <f aca="false">IF(E14=0,0,E30/E14)</f>
        <v>0.361708253358925</v>
      </c>
      <c r="F31" s="12"/>
    </row>
    <row r="32" customFormat="false" ht="15" hidden="false" customHeight="false" outlineLevel="0" collapsed="false">
      <c r="A32" s="12" t="s">
        <v>439</v>
      </c>
      <c r="B32" s="27" t="n">
        <f aca="false">B10+B11</f>
        <v>366</v>
      </c>
      <c r="C32" s="27" t="n">
        <f aca="false">C10+C11</f>
        <v>366</v>
      </c>
      <c r="D32" s="27" t="n">
        <f aca="false">D9+D11</f>
        <v>2043</v>
      </c>
      <c r="E32" s="27" t="n">
        <f aca="false">E9+E11</f>
        <v>2043</v>
      </c>
      <c r="F32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50"/>
    <col collapsed="false" customWidth="true" hidden="false" outlineLevel="0" max="5" min="5" style="0" width="60"/>
  </cols>
  <sheetData>
    <row r="1" customFormat="false" ht="19.4" hidden="false" customHeight="false" outlineLevel="0" collapsed="false">
      <c r="A1" s="6" t="s">
        <v>440</v>
      </c>
    </row>
    <row r="3" customFormat="false" ht="15" hidden="false" customHeight="false" outlineLevel="0" collapsed="false">
      <c r="A3" s="8" t="s">
        <v>441</v>
      </c>
      <c r="B3" s="8" t="s">
        <v>442</v>
      </c>
      <c r="C3" s="8" t="s">
        <v>443</v>
      </c>
      <c r="D3" s="9" t="s">
        <v>412</v>
      </c>
    </row>
    <row r="4" customFormat="false" ht="15" hidden="false" customHeight="false" outlineLevel="0" collapsed="false">
      <c r="A4" s="12" t="s">
        <v>444</v>
      </c>
      <c r="B4" s="27" t="n">
        <f aca="false">Inputs_Yearly!$G$13</f>
        <v>1150</v>
      </c>
      <c r="C4" s="27" t="n">
        <f aca="false">Inputs_Yearly!$I$13</f>
        <v>900</v>
      </c>
      <c r="D4" s="12"/>
    </row>
    <row r="5" customFormat="false" ht="15" hidden="false" customHeight="false" outlineLevel="0" collapsed="false">
      <c r="A5" s="10" t="s">
        <v>445</v>
      </c>
      <c r="B5" s="27" t="n">
        <f aca="false">B4*(1-Inputs!$E$68)/Inputs!$E$35</f>
        <v>16.2916666666667</v>
      </c>
      <c r="C5" s="27" t="n">
        <f aca="false">C4*(1-Inputs!$E$68)/Inputs!$E$35</f>
        <v>12.75</v>
      </c>
      <c r="D5" s="12"/>
    </row>
    <row r="6" customFormat="false" ht="15" hidden="false" customHeight="false" outlineLevel="0" collapsed="false">
      <c r="A6" s="10" t="s">
        <v>446</v>
      </c>
      <c r="B6" s="27" t="n">
        <f aca="false">B4*(1+Inputs!$E$68)/2*Inputs!$E$69/12</f>
        <v>4.40833333333333</v>
      </c>
      <c r="C6" s="27" t="n">
        <f aca="false">C4*(1+Inputs!$E$68)/2*Inputs!$E$69/12</f>
        <v>3.45</v>
      </c>
      <c r="D6" s="12"/>
    </row>
    <row r="7" customFormat="false" ht="15" hidden="false" customHeight="false" outlineLevel="0" collapsed="false">
      <c r="A7" s="12" t="s">
        <v>447</v>
      </c>
      <c r="B7" s="27" t="n">
        <f aca="false">(Inputs_Yearly!$G$21*Inputs_Yearly!$G$25+Inputs!$E$59*Inputs!$E$60+Inputs!$E$61)/12</f>
        <v>3.06666666666667</v>
      </c>
      <c r="C7" s="27" t="n">
        <f aca="false">(Inputs_Yearly!$I$21*Inputs_Yearly!$I$25+Inputs!$E$59*Inputs!$E$60+Inputs!$E$61)/12</f>
        <v>2.23333333333333</v>
      </c>
      <c r="D7" s="12"/>
    </row>
    <row r="8" customFormat="false" ht="15" hidden="false" customHeight="false" outlineLevel="0" collapsed="false">
      <c r="A8" s="12" t="s">
        <v>448</v>
      </c>
      <c r="B8" s="27" t="n">
        <f aca="false">Inputs!$E$38*Inputs!$E$39*Inputs!$E$62/12</f>
        <v>0.525</v>
      </c>
      <c r="C8" s="27" t="n">
        <f aca="false">Inputs!$E$38*Inputs!$E$39*Inputs!$E$62/12</f>
        <v>0.525</v>
      </c>
      <c r="D8" s="12"/>
    </row>
    <row r="9" customFormat="false" ht="15" hidden="false" customHeight="false" outlineLevel="0" collapsed="false">
      <c r="A9" s="12" t="s">
        <v>449</v>
      </c>
      <c r="B9" s="27" t="n">
        <f aca="false">Inputs!$E$58*B4/Inputs!$E$35</f>
        <v>0.766666666666667</v>
      </c>
      <c r="C9" s="27" t="n">
        <f aca="false">Inputs!$E$58*C4/Inputs!$E$35</f>
        <v>0.6</v>
      </c>
      <c r="D9" s="12"/>
    </row>
    <row r="10" customFormat="false" ht="15" hidden="false" customHeight="false" outlineLevel="0" collapsed="false">
      <c r="A10" s="25" t="s">
        <v>450</v>
      </c>
      <c r="B10" s="27" t="n">
        <f aca="false">B5+B6+B7+B8+B9</f>
        <v>25.0583333333333</v>
      </c>
      <c r="C10" s="27" t="n">
        <f aca="false">C5+C6+C7+C8+C9</f>
        <v>19.5583333333333</v>
      </c>
      <c r="D10" s="12"/>
    </row>
    <row r="11" customFormat="false" ht="15" hidden="false" customHeight="false" outlineLevel="0" collapsed="false">
      <c r="A11" s="10" t="s">
        <v>451</v>
      </c>
      <c r="B11" s="27" t="n">
        <f aca="false">Inputs!$E$34</f>
        <v>33</v>
      </c>
      <c r="C11" s="27" t="n">
        <f aca="false">Inputs!$E$34</f>
        <v>33</v>
      </c>
      <c r="D11" s="12"/>
    </row>
    <row r="12" customFormat="false" ht="15" hidden="false" customHeight="false" outlineLevel="0" collapsed="false">
      <c r="A12" s="25" t="s">
        <v>452</v>
      </c>
      <c r="B12" s="27" t="n">
        <f aca="false">B11-B10</f>
        <v>7.94166666666667</v>
      </c>
      <c r="C12" s="27" t="n">
        <f aca="false">C11-C10</f>
        <v>13.4416666666667</v>
      </c>
      <c r="D12" s="12"/>
    </row>
    <row r="13" customFormat="false" ht="15" hidden="false" customHeight="false" outlineLevel="0" collapsed="false">
      <c r="A13" s="12" t="s">
        <v>438</v>
      </c>
      <c r="B13" s="26" t="n">
        <f aca="false">B12/B11</f>
        <v>0.240656565656566</v>
      </c>
      <c r="C13" s="26" t="n">
        <f aca="false">C12/C11</f>
        <v>0.407323232323232</v>
      </c>
      <c r="D13" s="12"/>
    </row>
    <row r="14" customFormat="false" ht="15" hidden="false" customHeight="false" outlineLevel="0" collapsed="false">
      <c r="A14" s="10" t="s">
        <v>453</v>
      </c>
      <c r="B14" s="27" t="n">
        <f aca="false">B10/0.8</f>
        <v>31.3229166666667</v>
      </c>
      <c r="C14" s="27" t="n">
        <f aca="false">C10/0.8</f>
        <v>24.4479166666667</v>
      </c>
      <c r="D14" s="12"/>
    </row>
    <row r="15" customFormat="false" ht="15" hidden="false" customHeight="false" outlineLevel="0" collapsed="false">
      <c r="A15" s="18" t="s">
        <v>454</v>
      </c>
      <c r="B15" s="27" t="n">
        <f aca="false">B4/(B11-B7-B8)</f>
        <v>39.1045621989232</v>
      </c>
      <c r="C15" s="27" t="n">
        <f aca="false">C4/(C11-C7-C8)</f>
        <v>29.7602645356848</v>
      </c>
      <c r="D15" s="10" t="s">
        <v>455</v>
      </c>
    </row>
    <row r="16" customFormat="false" ht="15" hidden="false" customHeight="false" outlineLevel="0" collapsed="false">
      <c r="A16" s="12" t="s">
        <v>456</v>
      </c>
      <c r="B16" s="27" t="n">
        <f aca="false">Inputs!$E$70*(B11-B7-B8)</f>
        <v>1058.7</v>
      </c>
      <c r="C16" s="27" t="n">
        <f aca="false">Inputs!$E$70*(C11-C7-C8)</f>
        <v>1088.7</v>
      </c>
      <c r="D16" s="12" t="s">
        <v>457</v>
      </c>
    </row>
    <row r="18" customFormat="false" ht="15" hidden="false" customHeight="false" outlineLevel="0" collapsed="false">
      <c r="A18" s="8" t="s">
        <v>458</v>
      </c>
      <c r="B18" s="8" t="s">
        <v>442</v>
      </c>
      <c r="C18" s="8" t="s">
        <v>443</v>
      </c>
      <c r="D18" s="9" t="s">
        <v>412</v>
      </c>
    </row>
    <row r="19" customFormat="false" ht="15" hidden="false" customHeight="false" outlineLevel="0" collapsed="false">
      <c r="A19" s="12" t="s">
        <v>459</v>
      </c>
      <c r="B19" s="27" t="n">
        <f aca="false">Inputs!$E$36</f>
        <v>48</v>
      </c>
      <c r="C19" s="27" t="n">
        <f aca="false">Inputs!$E$36</f>
        <v>48</v>
      </c>
    </row>
    <row r="20" customFormat="false" ht="15" hidden="false" customHeight="false" outlineLevel="0" collapsed="false">
      <c r="A20" s="10" t="s">
        <v>460</v>
      </c>
      <c r="B20" s="27" t="n">
        <f aca="false">Inputs_Yearly!$G$21*Inputs_Yearly!$G$25</f>
        <v>22</v>
      </c>
      <c r="C20" s="27" t="n">
        <f aca="false">Inputs_Yearly!$I$21*Inputs_Yearly!$I$25</f>
        <v>12</v>
      </c>
    </row>
    <row r="21" customFormat="false" ht="15" hidden="false" customHeight="false" outlineLevel="0" collapsed="false">
      <c r="A21" s="10" t="s">
        <v>461</v>
      </c>
      <c r="B21" s="27" t="n">
        <f aca="false">Inputs!$E$59*Inputs!$E$60</f>
        <v>10.8</v>
      </c>
      <c r="C21" s="27" t="n">
        <f aca="false">Inputs!$E$59*Inputs!$E$60</f>
        <v>10.8</v>
      </c>
    </row>
    <row r="22" customFormat="false" ht="15" hidden="false" customHeight="false" outlineLevel="0" collapsed="false">
      <c r="A22" s="12" t="s">
        <v>462</v>
      </c>
      <c r="B22" s="27" t="n">
        <f aca="false">Inputs!$E$61</f>
        <v>4</v>
      </c>
      <c r="C22" s="27" t="n">
        <f aca="false">Inputs!$E$61</f>
        <v>4</v>
      </c>
    </row>
    <row r="23" customFormat="false" ht="15" hidden="false" customHeight="false" outlineLevel="0" collapsed="false">
      <c r="A23" s="18" t="s">
        <v>463</v>
      </c>
      <c r="B23" s="27" t="n">
        <f aca="false">SUM(B20:B22)</f>
        <v>36.8</v>
      </c>
      <c r="C23" s="27" t="n">
        <f aca="false">SUM(C20:C22)</f>
        <v>26.8</v>
      </c>
    </row>
    <row r="24" customFormat="false" ht="15" hidden="false" customHeight="false" outlineLevel="0" collapsed="false">
      <c r="A24" s="18" t="s">
        <v>464</v>
      </c>
      <c r="B24" s="27" t="n">
        <f aca="false">B19-B23</f>
        <v>11.2</v>
      </c>
      <c r="C24" s="27" t="n">
        <f aca="false">C19-C23</f>
        <v>21.2</v>
      </c>
    </row>
    <row r="25" customFormat="false" ht="15" hidden="false" customHeight="false" outlineLevel="0" collapsed="false">
      <c r="A25" s="18" t="s">
        <v>465</v>
      </c>
      <c r="B25" s="26" t="n">
        <f aca="false">B24/B19</f>
        <v>0.233333333333333</v>
      </c>
      <c r="C25" s="26" t="n">
        <f aca="false">C24/C19</f>
        <v>0.441666666666667</v>
      </c>
    </row>
    <row r="27" customFormat="false" ht="15" hidden="false" customHeight="false" outlineLevel="0" collapsed="false">
      <c r="A27" s="8" t="s">
        <v>466</v>
      </c>
      <c r="B27" s="9" t="s">
        <v>467</v>
      </c>
      <c r="C27" s="9" t="s">
        <v>468</v>
      </c>
      <c r="D27" s="8" t="s">
        <v>34</v>
      </c>
    </row>
    <row r="28" customFormat="false" ht="15" hidden="false" customHeight="false" outlineLevel="0" collapsed="false">
      <c r="A28" s="12" t="s">
        <v>469</v>
      </c>
      <c r="B28" s="27" t="n">
        <f aca="false">Inputs!$E$38*Inputs!$E$39*Inputs!$E$44</f>
        <v>12.6</v>
      </c>
      <c r="C28" s="27" t="n">
        <f aca="false">B28*Inputs!$E$62</f>
        <v>4.41</v>
      </c>
      <c r="D28" s="27" t="n">
        <f aca="false">B28-C28</f>
        <v>8.19</v>
      </c>
    </row>
    <row r="29" customFormat="false" ht="15" hidden="false" customHeight="false" outlineLevel="0" collapsed="false">
      <c r="A29" s="12" t="s">
        <v>470</v>
      </c>
      <c r="B29" s="27" t="n">
        <f aca="false">Inputs!$E$40*Inputs!$E$41*Inputs!$E$44</f>
        <v>7</v>
      </c>
      <c r="C29" s="27" t="n">
        <f aca="false">B29*Inputs!$E$62</f>
        <v>2.45</v>
      </c>
      <c r="D29" s="27" t="n">
        <f aca="false">B29-C29</f>
        <v>4.55</v>
      </c>
    </row>
    <row r="30" customFormat="false" ht="15" hidden="false" customHeight="false" outlineLevel="0" collapsed="false">
      <c r="A30" s="12" t="s">
        <v>471</v>
      </c>
      <c r="B30" s="27" t="n">
        <f aca="false">Inputs!$E$42*Inputs!$E$43*Inputs!$E$44</f>
        <v>5.6</v>
      </c>
      <c r="C30" s="27" t="n">
        <f aca="false">B30*Inputs!$E$62</f>
        <v>1.96</v>
      </c>
      <c r="D30" s="27" t="n">
        <f aca="false">B30-C30</f>
        <v>3.64</v>
      </c>
    </row>
    <row r="31" customFormat="false" ht="15" hidden="false" customHeight="false" outlineLevel="0" collapsed="false">
      <c r="A31" s="25" t="s">
        <v>472</v>
      </c>
      <c r="B31" s="28" t="n">
        <f aca="false">SUM(B28:B30)</f>
        <v>25.2</v>
      </c>
      <c r="C31" s="28" t="n">
        <f aca="false">SUM(C28:C30)</f>
        <v>8.82</v>
      </c>
      <c r="D31" s="28" t="n">
        <f aca="false">SUM(D28:D30)</f>
        <v>16.38</v>
      </c>
    </row>
    <row r="33" customFormat="false" ht="15" hidden="false" customHeight="false" outlineLevel="0" collapsed="false">
      <c r="A33" s="8" t="s">
        <v>473</v>
      </c>
      <c r="B33" s="9" t="s">
        <v>474</v>
      </c>
      <c r="C33" s="8"/>
      <c r="D33" s="9" t="s">
        <v>412</v>
      </c>
    </row>
    <row r="34" customFormat="false" ht="15" hidden="false" customHeight="false" outlineLevel="0" collapsed="false">
      <c r="A34" s="12" t="s">
        <v>475</v>
      </c>
      <c r="B34" s="27" t="n">
        <f aca="false">Inputs!$E$32*Inputs!$E$50</f>
        <v>1311.2</v>
      </c>
      <c r="D34" s="12"/>
    </row>
    <row r="35" customFormat="false" ht="15" hidden="false" customHeight="false" outlineLevel="0" collapsed="false">
      <c r="A35" s="10" t="s">
        <v>476</v>
      </c>
      <c r="B35" s="27" t="n">
        <f aca="false">Inputs!$E$34-Inputs!$E$51</f>
        <v>27</v>
      </c>
      <c r="D35" s="12"/>
    </row>
    <row r="36" customFormat="false" ht="15" hidden="false" customHeight="false" outlineLevel="0" collapsed="false">
      <c r="A36" s="10" t="s">
        <v>477</v>
      </c>
      <c r="B36" s="27" t="n">
        <f aca="false">B34*Inputs!$E$68</f>
        <v>196.68</v>
      </c>
      <c r="D36" s="12"/>
    </row>
    <row r="37" customFormat="false" ht="15" hidden="false" customHeight="false" outlineLevel="0" collapsed="false">
      <c r="A37" s="10" t="s">
        <v>478</v>
      </c>
      <c r="B37" s="29" t="n">
        <f aca="false">RATE(Inputs!$E$35,B35,-B34,B36)</f>
        <v>0.0102761122810669</v>
      </c>
      <c r="D37" s="12" t="s">
        <v>479</v>
      </c>
    </row>
    <row r="38" customFormat="false" ht="15" hidden="false" customHeight="false" outlineLevel="0" collapsed="false">
      <c r="A38" s="25" t="s">
        <v>480</v>
      </c>
      <c r="B38" s="26" t="n">
        <f aca="false">(1+B37)^12-1</f>
        <v>0.130527190120729</v>
      </c>
      <c r="D38" s="12"/>
    </row>
    <row r="40" customFormat="false" ht="15" hidden="false" customHeight="false" outlineLevel="0" collapsed="false">
      <c r="A40" s="8" t="s">
        <v>481</v>
      </c>
      <c r="B40" s="8" t="s">
        <v>482</v>
      </c>
      <c r="C40" s="8" t="s">
        <v>26</v>
      </c>
      <c r="D40" s="8" t="s">
        <v>28</v>
      </c>
    </row>
    <row r="41" customFormat="false" ht="15" hidden="false" customHeight="false" outlineLevel="0" collapsed="false">
      <c r="A41" s="12" t="s">
        <v>483</v>
      </c>
      <c r="B41" s="17" t="n">
        <v>950</v>
      </c>
      <c r="C41" s="17" t="n">
        <v>600</v>
      </c>
      <c r="D41" s="17" t="n">
        <v>450</v>
      </c>
      <c r="E41" s="12" t="s">
        <v>484</v>
      </c>
    </row>
    <row r="42" customFormat="false" ht="15" hidden="false" customHeight="false" outlineLevel="0" collapsed="false">
      <c r="A42" s="12" t="s">
        <v>485</v>
      </c>
      <c r="B42" s="17" t="n">
        <v>180</v>
      </c>
      <c r="C42" s="17" t="n">
        <v>150</v>
      </c>
      <c r="D42" s="17" t="n">
        <v>120</v>
      </c>
      <c r="E42" s="12" t="s">
        <v>486</v>
      </c>
    </row>
    <row r="43" customFormat="false" ht="15" hidden="false" customHeight="false" outlineLevel="0" collapsed="false">
      <c r="A43" s="12" t="s">
        <v>487</v>
      </c>
      <c r="B43" s="17" t="n">
        <v>120</v>
      </c>
      <c r="C43" s="17" t="n">
        <v>90</v>
      </c>
      <c r="D43" s="17" t="n">
        <v>70</v>
      </c>
      <c r="E43" s="12" t="s">
        <v>488</v>
      </c>
    </row>
    <row r="44" customFormat="false" ht="15" hidden="false" customHeight="false" outlineLevel="0" collapsed="false">
      <c r="A44" s="12" t="s">
        <v>489</v>
      </c>
      <c r="B44" s="17" t="n">
        <v>110</v>
      </c>
      <c r="C44" s="17" t="n">
        <v>80</v>
      </c>
      <c r="D44" s="17" t="n">
        <v>60</v>
      </c>
      <c r="E44" s="12" t="s">
        <v>490</v>
      </c>
    </row>
    <row r="45" customFormat="false" ht="15" hidden="false" customHeight="false" outlineLevel="0" collapsed="false">
      <c r="A45" s="12" t="s">
        <v>491</v>
      </c>
      <c r="B45" s="17" t="n">
        <v>100</v>
      </c>
      <c r="C45" s="17" t="n">
        <v>80</v>
      </c>
      <c r="D45" s="17" t="n">
        <v>70</v>
      </c>
      <c r="E45" s="12" t="s">
        <v>492</v>
      </c>
    </row>
    <row r="46" customFormat="false" ht="15" hidden="false" customHeight="false" outlineLevel="0" collapsed="false">
      <c r="A46" s="12" t="s">
        <v>493</v>
      </c>
      <c r="B46" s="17" t="n">
        <v>70</v>
      </c>
      <c r="C46" s="17" t="n">
        <v>60</v>
      </c>
      <c r="D46" s="17" t="n">
        <v>50</v>
      </c>
      <c r="E46" s="12" t="s">
        <v>494</v>
      </c>
    </row>
    <row r="47" customFormat="false" ht="15" hidden="false" customHeight="false" outlineLevel="0" collapsed="false">
      <c r="A47" s="12" t="s">
        <v>495</v>
      </c>
      <c r="B47" s="17" t="n">
        <v>70</v>
      </c>
      <c r="C47" s="17" t="n">
        <v>50</v>
      </c>
      <c r="D47" s="17" t="n">
        <v>45</v>
      </c>
      <c r="E47" s="12"/>
    </row>
    <row r="48" customFormat="false" ht="15" hidden="false" customHeight="false" outlineLevel="0" collapsed="false">
      <c r="A48" s="10" t="s">
        <v>496</v>
      </c>
      <c r="B48" s="17" t="n">
        <v>0</v>
      </c>
      <c r="C48" s="17" t="n">
        <v>40</v>
      </c>
      <c r="D48" s="17" t="n">
        <v>35</v>
      </c>
      <c r="E48" s="12"/>
    </row>
    <row r="49" customFormat="false" ht="15" hidden="false" customHeight="false" outlineLevel="0" collapsed="false">
      <c r="A49" s="25" t="s">
        <v>472</v>
      </c>
      <c r="B49" s="30" t="n">
        <f aca="false">SUM(B41:B48)</f>
        <v>1600</v>
      </c>
      <c r="C49" s="30" t="n">
        <f aca="false">SUM(C41:C48)</f>
        <v>1150</v>
      </c>
      <c r="D49" s="30" t="n">
        <f aca="false">SUM(D41:D48)</f>
        <v>900</v>
      </c>
    </row>
    <row r="50" customFormat="false" ht="15" hidden="false" customHeight="false" outlineLevel="0" collapsed="false">
      <c r="A50" s="10" t="s">
        <v>497</v>
      </c>
      <c r="B50" s="24" t="n">
        <f aca="false">B49-Inputs_Yearly!$E$13</f>
        <v>0</v>
      </c>
      <c r="C50" s="24" t="n">
        <f aca="false">C49-Inputs_Yearly!$G$13</f>
        <v>0</v>
      </c>
      <c r="D50" s="24" t="n">
        <f aca="false">D49-Inputs_Yearly!$I$13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6" t="s">
        <v>498</v>
      </c>
    </row>
    <row r="3" customFormat="false" ht="15" hidden="false" customHeight="false" outlineLevel="0" collapsed="false">
      <c r="A3" s="9" t="s">
        <v>49</v>
      </c>
      <c r="B3" s="9" t="s">
        <v>474</v>
      </c>
      <c r="C3" s="9" t="s">
        <v>23</v>
      </c>
      <c r="D3" s="8" t="s">
        <v>5</v>
      </c>
      <c r="E3" s="9" t="s">
        <v>499</v>
      </c>
    </row>
    <row r="4" customFormat="false" ht="15" hidden="false" customHeight="false" outlineLevel="0" collapsed="false">
      <c r="A4" s="10" t="s">
        <v>500</v>
      </c>
      <c r="B4" s="11" t="n">
        <f aca="false">Inputs!$E$5</f>
        <v>20181</v>
      </c>
      <c r="C4" s="10" t="s">
        <v>54</v>
      </c>
      <c r="D4" s="18" t="s">
        <v>55</v>
      </c>
      <c r="E4" s="10" t="s">
        <v>501</v>
      </c>
    </row>
    <row r="5" customFormat="false" ht="15" hidden="false" customHeight="false" outlineLevel="0" collapsed="false">
      <c r="A5" s="10" t="s">
        <v>502</v>
      </c>
      <c r="B5" s="13" t="n">
        <f aca="false">Inputs!$E$6</f>
        <v>0.658</v>
      </c>
      <c r="C5" s="12" t="s">
        <v>33</v>
      </c>
      <c r="D5" s="18" t="s">
        <v>55</v>
      </c>
      <c r="E5" s="12"/>
    </row>
    <row r="6" customFormat="false" ht="15" hidden="false" customHeight="false" outlineLevel="0" collapsed="false">
      <c r="A6" s="10" t="s">
        <v>503</v>
      </c>
      <c r="B6" s="27" t="n">
        <f aca="false">B4*B5</f>
        <v>13279.098</v>
      </c>
      <c r="C6" s="10" t="s">
        <v>54</v>
      </c>
      <c r="D6" s="18" t="s">
        <v>107</v>
      </c>
      <c r="E6" s="10" t="s">
        <v>504</v>
      </c>
    </row>
    <row r="7" customFormat="false" ht="15" hidden="false" customHeight="false" outlineLevel="0" collapsed="false">
      <c r="A7" s="10" t="s">
        <v>505</v>
      </c>
      <c r="B7" s="27" t="n">
        <f aca="false">Inputs!$E$10/Inputs!$E$15</f>
        <v>290.454545454545</v>
      </c>
      <c r="C7" s="10" t="s">
        <v>94</v>
      </c>
      <c r="D7" s="18" t="s">
        <v>107</v>
      </c>
      <c r="E7" s="12"/>
    </row>
    <row r="8" customFormat="false" ht="15" hidden="false" customHeight="false" outlineLevel="0" collapsed="false">
      <c r="A8" s="10" t="s">
        <v>506</v>
      </c>
      <c r="B8" s="27" t="n">
        <f aca="false">Inputs!$E$11*Inputs!$E$16*Inputs!$E$17+Inputs!$E$18</f>
        <v>303.28</v>
      </c>
      <c r="C8" s="10" t="s">
        <v>94</v>
      </c>
      <c r="D8" s="18" t="s">
        <v>107</v>
      </c>
      <c r="E8" s="12"/>
    </row>
    <row r="9" customFormat="false" ht="15" hidden="false" customHeight="false" outlineLevel="0" collapsed="false">
      <c r="A9" s="10" t="s">
        <v>507</v>
      </c>
      <c r="B9" s="11" t="n">
        <f aca="false">Inputs!$E$19</f>
        <v>300</v>
      </c>
      <c r="C9" s="10" t="s">
        <v>94</v>
      </c>
      <c r="D9" s="18" t="s">
        <v>84</v>
      </c>
      <c r="E9" s="12" t="s">
        <v>508</v>
      </c>
    </row>
    <row r="10" customFormat="false" ht="15" hidden="false" customHeight="false" outlineLevel="0" collapsed="false">
      <c r="A10" s="12" t="s">
        <v>509</v>
      </c>
      <c r="B10" s="13" t="n">
        <f aca="false">Inputs!$E$20</f>
        <v>0.1</v>
      </c>
      <c r="C10" s="12" t="s">
        <v>33</v>
      </c>
      <c r="D10" s="18" t="s">
        <v>84</v>
      </c>
      <c r="E10" s="12"/>
    </row>
    <row r="11" customFormat="false" ht="15" hidden="false" customHeight="false" outlineLevel="0" collapsed="false">
      <c r="A11" s="12" t="s">
        <v>510</v>
      </c>
      <c r="B11" s="27" t="n">
        <f aca="false">B9*B10</f>
        <v>30</v>
      </c>
      <c r="C11" s="10" t="s">
        <v>94</v>
      </c>
      <c r="D11" s="18" t="s">
        <v>107</v>
      </c>
      <c r="E11" s="12"/>
    </row>
    <row r="12" customFormat="false" ht="15" hidden="false" customHeight="false" outlineLevel="0" collapsed="false">
      <c r="A12" s="12" t="s">
        <v>511</v>
      </c>
      <c r="B12" s="13" t="n">
        <f aca="false">Inputs!$E$21</f>
        <v>0.6</v>
      </c>
      <c r="C12" s="12" t="s">
        <v>33</v>
      </c>
      <c r="D12" s="18" t="s">
        <v>84</v>
      </c>
      <c r="E12" s="12"/>
    </row>
    <row r="13" customFormat="false" ht="15" hidden="false" customHeight="false" outlineLevel="0" collapsed="false">
      <c r="A13" s="10" t="s">
        <v>512</v>
      </c>
      <c r="B13" s="27" t="n">
        <f aca="false">B11*B12</f>
        <v>18</v>
      </c>
      <c r="C13" s="10" t="s">
        <v>94</v>
      </c>
      <c r="D13" s="18" t="s">
        <v>107</v>
      </c>
      <c r="E13" s="12"/>
    </row>
    <row r="14" customFormat="false" ht="15" hidden="false" customHeight="false" outlineLevel="0" collapsed="false">
      <c r="A14" s="10" t="s">
        <v>513</v>
      </c>
      <c r="B14" s="27" t="n">
        <f aca="false">Inputs!$E$30+Inputs_Yearly!$I$37*(Inputs!$E$32+Inputs!$E$33)</f>
        <v>1784.5</v>
      </c>
      <c r="C14" s="10" t="s">
        <v>178</v>
      </c>
      <c r="D14" s="18" t="s">
        <v>107</v>
      </c>
      <c r="E14" s="12" t="s">
        <v>514</v>
      </c>
    </row>
    <row r="15" customFormat="false" ht="15" hidden="false" customHeight="false" outlineLevel="0" collapsed="false">
      <c r="A15" s="10" t="s">
        <v>515</v>
      </c>
      <c r="B15" s="11" t="n">
        <f aca="false">Inputs!$E$22</f>
        <v>200</v>
      </c>
      <c r="C15" s="10" t="s">
        <v>94</v>
      </c>
      <c r="D15" s="18" t="s">
        <v>107</v>
      </c>
      <c r="E15" s="12" t="s">
        <v>516</v>
      </c>
    </row>
    <row r="16" customFormat="false" ht="15" hidden="false" customHeight="false" outlineLevel="0" collapsed="false">
      <c r="A16" s="12" t="s">
        <v>517</v>
      </c>
      <c r="B16" s="13" t="n">
        <f aca="false">Inputs!$E$23</f>
        <v>0.15</v>
      </c>
      <c r="C16" s="12" t="s">
        <v>33</v>
      </c>
      <c r="D16" s="18" t="s">
        <v>84</v>
      </c>
      <c r="E16" s="12"/>
    </row>
    <row r="17" customFormat="false" ht="15" hidden="false" customHeight="false" outlineLevel="0" collapsed="false">
      <c r="A17" s="10" t="s">
        <v>518</v>
      </c>
      <c r="B17" s="27" t="n">
        <f aca="false">B15*B16</f>
        <v>30</v>
      </c>
      <c r="C17" s="10" t="s">
        <v>94</v>
      </c>
      <c r="D17" s="18" t="s">
        <v>107</v>
      </c>
      <c r="E17" s="12"/>
    </row>
    <row r="18" customFormat="false" ht="15" hidden="false" customHeight="false" outlineLevel="0" collapsed="false">
      <c r="A18" s="12" t="s">
        <v>519</v>
      </c>
      <c r="B18" s="13" t="n">
        <f aca="false">Inputs!$E$74</f>
        <v>0.1</v>
      </c>
      <c r="C18" s="12" t="s">
        <v>33</v>
      </c>
      <c r="D18" s="18" t="s">
        <v>84</v>
      </c>
      <c r="E18" s="12"/>
    </row>
    <row r="19" customFormat="false" ht="15" hidden="false" customHeight="false" outlineLevel="0" collapsed="false">
      <c r="A19" s="10" t="s">
        <v>520</v>
      </c>
      <c r="B19" s="27" t="n">
        <f aca="false">B17*B18</f>
        <v>3</v>
      </c>
      <c r="C19" s="10" t="s">
        <v>94</v>
      </c>
      <c r="D19" s="18" t="s">
        <v>107</v>
      </c>
      <c r="E19" s="12"/>
    </row>
    <row r="20" customFormat="false" ht="15" hidden="false" customHeight="false" outlineLevel="0" collapsed="false">
      <c r="A20" s="10" t="s">
        <v>521</v>
      </c>
      <c r="B20" s="27" t="n">
        <f aca="false">Inputs!$E$31+Inputs!$E$75*(Inputs!$E$32+Inputs!$E$33)</f>
        <v>612.5</v>
      </c>
      <c r="C20" s="10" t="s">
        <v>178</v>
      </c>
      <c r="D20" s="18" t="s">
        <v>107</v>
      </c>
      <c r="E20" s="12"/>
    </row>
    <row r="21" customFormat="false" ht="15" hidden="false" customHeight="false" outlineLevel="0" collapsed="false">
      <c r="A21" s="10" t="s">
        <v>522</v>
      </c>
      <c r="B21" s="27" t="n">
        <f aca="false">Inputs!$E$30+Inputs!$E$32+Inputs!$E$33</f>
        <v>2020</v>
      </c>
      <c r="C21" s="10" t="s">
        <v>178</v>
      </c>
      <c r="D21" s="18" t="s">
        <v>84</v>
      </c>
      <c r="E21" s="12"/>
    </row>
    <row r="22" customFormat="false" ht="15" hidden="false" customHeight="false" outlineLevel="0" collapsed="false">
      <c r="A22" s="18" t="s">
        <v>523</v>
      </c>
      <c r="B22" s="27" t="n">
        <f aca="false">(B11+B17)*B21/10</f>
        <v>12120</v>
      </c>
      <c r="C22" s="10" t="s">
        <v>524</v>
      </c>
      <c r="D22" s="18" t="s">
        <v>107</v>
      </c>
      <c r="E22" s="10" t="s">
        <v>525</v>
      </c>
    </row>
    <row r="23" customFormat="false" ht="15" hidden="false" customHeight="false" outlineLevel="0" collapsed="false">
      <c r="A23" s="12" t="s">
        <v>526</v>
      </c>
      <c r="B23" s="27" t="n">
        <f aca="false">B13*B14/10</f>
        <v>3212.1</v>
      </c>
      <c r="C23" s="10" t="s">
        <v>524</v>
      </c>
      <c r="D23" s="18" t="s">
        <v>107</v>
      </c>
      <c r="E23" s="12"/>
    </row>
    <row r="24" customFormat="false" ht="15" hidden="false" customHeight="false" outlineLevel="0" collapsed="false">
      <c r="A24" s="12" t="s">
        <v>527</v>
      </c>
      <c r="B24" s="27" t="n">
        <f aca="false">B19*B20/10</f>
        <v>183.75</v>
      </c>
      <c r="C24" s="10" t="s">
        <v>524</v>
      </c>
      <c r="D24" s="18" t="s">
        <v>107</v>
      </c>
      <c r="E24" s="12"/>
    </row>
    <row r="25" customFormat="false" ht="15" hidden="false" customHeight="false" outlineLevel="0" collapsed="false">
      <c r="A25" s="18" t="s">
        <v>528</v>
      </c>
      <c r="B25" s="27" t="n">
        <f aca="false">B23+B24</f>
        <v>3395.85</v>
      </c>
      <c r="C25" s="10" t="s">
        <v>524</v>
      </c>
      <c r="D25" s="18" t="s">
        <v>107</v>
      </c>
      <c r="E25" s="12"/>
    </row>
    <row r="26" customFormat="false" ht="15" hidden="false" customHeight="false" outlineLevel="0" collapsed="false">
      <c r="A26" s="18" t="s">
        <v>529</v>
      </c>
      <c r="B26" s="27" t="n">
        <f aca="false">FM_Base!$G$41/10000</f>
        <v>77.544078</v>
      </c>
      <c r="C26" s="10" t="s">
        <v>524</v>
      </c>
      <c r="D26" s="18" t="s">
        <v>271</v>
      </c>
      <c r="E26" s="12" t="s">
        <v>530</v>
      </c>
    </row>
    <row r="27" customFormat="false" ht="15" hidden="false" customHeight="false" outlineLevel="0" collapsed="false">
      <c r="A27" s="18" t="s">
        <v>531</v>
      </c>
      <c r="B27" s="26" t="n">
        <f aca="false">FM_Base!$G$8/((B13+B19)*1000)</f>
        <v>0.0228571428571429</v>
      </c>
      <c r="C27" s="12" t="s">
        <v>33</v>
      </c>
      <c r="D27" s="18" t="s">
        <v>107</v>
      </c>
      <c r="E27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1"/>
    <col collapsed="false" customWidth="true" hidden="false" outlineLevel="0" max="14" min="13" style="0" width="14"/>
  </cols>
  <sheetData>
    <row r="1" customFormat="false" ht="19.4" hidden="false" customHeight="false" outlineLevel="0" collapsed="false">
      <c r="A1" s="6" t="s">
        <v>532</v>
      </c>
    </row>
    <row r="2" customFormat="false" ht="15" hidden="false" customHeight="false" outlineLevel="0" collapsed="false">
      <c r="A2" s="7" t="s">
        <v>533</v>
      </c>
    </row>
    <row r="4" customFormat="false" ht="15" hidden="false" customHeight="false" outlineLevel="0" collapsed="false">
      <c r="A4" s="8" t="s">
        <v>534</v>
      </c>
      <c r="B4" s="8" t="s">
        <v>136</v>
      </c>
      <c r="C4" s="8" t="s">
        <v>284</v>
      </c>
      <c r="D4" s="8" t="s">
        <v>129</v>
      </c>
      <c r="E4" s="8" t="s">
        <v>225</v>
      </c>
      <c r="F4" s="8" t="s">
        <v>149</v>
      </c>
      <c r="G4" s="8" t="s">
        <v>293</v>
      </c>
      <c r="H4" s="8" t="s">
        <v>281</v>
      </c>
      <c r="I4" s="8" t="s">
        <v>287</v>
      </c>
      <c r="J4" s="8" t="s">
        <v>208</v>
      </c>
      <c r="K4" s="8" t="s">
        <v>205</v>
      </c>
      <c r="L4" s="8" t="s">
        <v>172</v>
      </c>
      <c r="M4" s="8" t="s">
        <v>34</v>
      </c>
      <c r="N4" s="8" t="s">
        <v>535</v>
      </c>
    </row>
    <row r="5" customFormat="false" ht="15" hidden="false" customHeight="false" outlineLevel="0" collapsed="false">
      <c r="A5" s="18" t="s">
        <v>45</v>
      </c>
      <c r="B5" s="11" t="n">
        <f aca="false">Inputs!$E$32</f>
        <v>1490</v>
      </c>
      <c r="C5" s="11" t="n">
        <f aca="false">Inputs_Yearly!$G$13</f>
        <v>1150</v>
      </c>
      <c r="D5" s="11" t="n">
        <f aca="false">Inputs!$E$30</f>
        <v>450</v>
      </c>
      <c r="E5" s="11" t="n">
        <f aca="false">Inputs!$E$66</f>
        <v>150</v>
      </c>
      <c r="F5" s="11" t="n">
        <f aca="false">Inputs!$E$36</f>
        <v>48</v>
      </c>
      <c r="G5" s="11" t="n">
        <f aca="false">Inputs_Yearly!$G$25</f>
        <v>11</v>
      </c>
      <c r="H5" s="13" t="n">
        <f aca="false">Inputs_Yearly!$G$9</f>
        <v>0.65</v>
      </c>
      <c r="I5" s="11" t="n">
        <f aca="false">Inputs_Yearly!$G$17</f>
        <v>60</v>
      </c>
      <c r="J5" s="11" t="n">
        <f aca="false">Inputs!$E$59</f>
        <v>0.6</v>
      </c>
      <c r="K5" s="13" t="n">
        <f aca="false">Inputs!$E$58</f>
        <v>0.04</v>
      </c>
      <c r="L5" s="13" t="n">
        <f aca="false">Inputs!$E$44</f>
        <v>0.7</v>
      </c>
      <c r="M5" s="27" t="n">
        <f aca="false">(D5+Inputs!$E$33+B5+5*F5+5*L5*(Inputs!$E$38*Inputs!$E$39+Inputs!$E$40*Inputs!$E$41+Inputs!$E$42*Inputs!$E$43)+Inputs!$E$47*Inputs!$E$46+Inputs!$E$49*Inputs!$E$48)-(Inputs!$E$53*(H5+Inputs!$E$54*(1-H5))+Inputs!$E$55*(1-H5)+I5+Inputs!$E$57+C5+K5*B5+5*(Inputs_Yearly!$G$21*G5+J5*Inputs!$E$60+Inputs!$E$61)+5*L5*(Inputs!$E$38*Inputs!$E$39+Inputs!$E$40*Inputs!$E$41+Inputs!$E$42*Inputs!$E$43)*Inputs!$E$62+Inputs!$E$47*Inputs!$E$46*Inputs!$E$63+Inputs!$E$49*Inputs!$E$48*Inputs!$E$64+E5)</f>
        <v>458.1</v>
      </c>
      <c r="N5" s="27" t="n">
        <f aca="false">M5-$M$5</f>
        <v>0</v>
      </c>
    </row>
    <row r="6" customFormat="false" ht="15" hidden="false" customHeight="false" outlineLevel="0" collapsed="false">
      <c r="A6" s="12" t="s">
        <v>536</v>
      </c>
      <c r="B6" s="20" t="n">
        <f aca="false">Inputs!$E$32*0.8</f>
        <v>1192</v>
      </c>
      <c r="C6" s="11" t="n">
        <f aca="false">Inputs_Yearly!$G$13</f>
        <v>1150</v>
      </c>
      <c r="D6" s="11" t="n">
        <f aca="false">Inputs!$E$30</f>
        <v>450</v>
      </c>
      <c r="E6" s="11" t="n">
        <f aca="false">Inputs!$E$66</f>
        <v>150</v>
      </c>
      <c r="F6" s="11" t="n">
        <f aca="false">Inputs!$E$36</f>
        <v>48</v>
      </c>
      <c r="G6" s="11" t="n">
        <f aca="false">Inputs_Yearly!$G$25</f>
        <v>11</v>
      </c>
      <c r="H6" s="13" t="n">
        <f aca="false">Inputs_Yearly!$G$9</f>
        <v>0.65</v>
      </c>
      <c r="I6" s="11" t="n">
        <f aca="false">Inputs_Yearly!$G$17</f>
        <v>60</v>
      </c>
      <c r="J6" s="11" t="n">
        <f aca="false">Inputs!$E$59</f>
        <v>0.6</v>
      </c>
      <c r="K6" s="13" t="n">
        <f aca="false">Inputs!$E$58</f>
        <v>0.04</v>
      </c>
      <c r="L6" s="13" t="n">
        <f aca="false">Inputs!$E$44</f>
        <v>0.7</v>
      </c>
      <c r="M6" s="27" t="n">
        <f aca="false">(D6+Inputs!$E$33+B6+5*F6+5*L6*(Inputs!$E$38*Inputs!$E$39+Inputs!$E$40*Inputs!$E$41+Inputs!$E$42*Inputs!$E$43)+Inputs!$E$47*Inputs!$E$46+Inputs!$E$49*Inputs!$E$48)-(Inputs!$E$53*(H6+Inputs!$E$54*(1-H6))+Inputs!$E$55*(1-H6)+I6+Inputs!$E$57+C6+K6*B6+5*(Inputs_Yearly!$G$21*G6+J6*Inputs!$E$60+Inputs!$E$61)+5*L6*(Inputs!$E$38*Inputs!$E$39+Inputs!$E$40*Inputs!$E$41+Inputs!$E$42*Inputs!$E$43)*Inputs!$E$62+Inputs!$E$47*Inputs!$E$46*Inputs!$E$63+Inputs!$E$49*Inputs!$E$48*Inputs!$E$64+E6)</f>
        <v>172.02</v>
      </c>
      <c r="N6" s="27" t="n">
        <f aca="false">M6-$M$5</f>
        <v>-286.08</v>
      </c>
    </row>
    <row r="7" customFormat="false" ht="15" hidden="false" customHeight="false" outlineLevel="0" collapsed="false">
      <c r="A7" s="12" t="s">
        <v>537</v>
      </c>
      <c r="B7" s="20" t="n">
        <f aca="false">Inputs!$E$32*1.2</f>
        <v>1788</v>
      </c>
      <c r="C7" s="11" t="n">
        <f aca="false">Inputs_Yearly!$G$13</f>
        <v>1150</v>
      </c>
      <c r="D7" s="11" t="n">
        <f aca="false">Inputs!$E$30</f>
        <v>450</v>
      </c>
      <c r="E7" s="11" t="n">
        <f aca="false">Inputs!$E$66</f>
        <v>150</v>
      </c>
      <c r="F7" s="11" t="n">
        <f aca="false">Inputs!$E$36</f>
        <v>48</v>
      </c>
      <c r="G7" s="11" t="n">
        <f aca="false">Inputs_Yearly!$G$25</f>
        <v>11</v>
      </c>
      <c r="H7" s="13" t="n">
        <f aca="false">Inputs_Yearly!$G$9</f>
        <v>0.65</v>
      </c>
      <c r="I7" s="11" t="n">
        <f aca="false">Inputs_Yearly!$G$17</f>
        <v>60</v>
      </c>
      <c r="J7" s="11" t="n">
        <f aca="false">Inputs!$E$59</f>
        <v>0.6</v>
      </c>
      <c r="K7" s="13" t="n">
        <f aca="false">Inputs!$E$58</f>
        <v>0.04</v>
      </c>
      <c r="L7" s="13" t="n">
        <f aca="false">Inputs!$E$44</f>
        <v>0.7</v>
      </c>
      <c r="M7" s="27" t="n">
        <f aca="false">(D7+Inputs!$E$33+B7+5*F7+5*L7*(Inputs!$E$38*Inputs!$E$39+Inputs!$E$40*Inputs!$E$41+Inputs!$E$42*Inputs!$E$43)+Inputs!$E$47*Inputs!$E$46+Inputs!$E$49*Inputs!$E$48)-(Inputs!$E$53*(H7+Inputs!$E$54*(1-H7))+Inputs!$E$55*(1-H7)+I7+Inputs!$E$57+C7+K7*B7+5*(Inputs_Yearly!$G$21*G7+J7*Inputs!$E$60+Inputs!$E$61)+5*L7*(Inputs!$E$38*Inputs!$E$39+Inputs!$E$40*Inputs!$E$41+Inputs!$E$42*Inputs!$E$43)*Inputs!$E$62+Inputs!$E$47*Inputs!$E$46*Inputs!$E$63+Inputs!$E$49*Inputs!$E$48*Inputs!$E$64+E7)</f>
        <v>744.18</v>
      </c>
      <c r="N7" s="27" t="n">
        <f aca="false">M7-$M$5</f>
        <v>286.08</v>
      </c>
    </row>
    <row r="8" customFormat="false" ht="15" hidden="false" customHeight="false" outlineLevel="0" collapsed="false">
      <c r="A8" s="12" t="s">
        <v>538</v>
      </c>
      <c r="B8" s="11" t="n">
        <f aca="false">Inputs!$E$32</f>
        <v>1490</v>
      </c>
      <c r="C8" s="20" t="n">
        <f aca="false">Inputs_Yearly!$G$13*1.2</f>
        <v>1380</v>
      </c>
      <c r="D8" s="11" t="n">
        <f aca="false">Inputs!$E$30</f>
        <v>450</v>
      </c>
      <c r="E8" s="11" t="n">
        <f aca="false">Inputs!$E$66</f>
        <v>150</v>
      </c>
      <c r="F8" s="11" t="n">
        <f aca="false">Inputs!$E$36</f>
        <v>48</v>
      </c>
      <c r="G8" s="11" t="n">
        <f aca="false">Inputs_Yearly!$G$25</f>
        <v>11</v>
      </c>
      <c r="H8" s="13" t="n">
        <f aca="false">Inputs_Yearly!$G$9</f>
        <v>0.65</v>
      </c>
      <c r="I8" s="11" t="n">
        <f aca="false">Inputs_Yearly!$G$17</f>
        <v>60</v>
      </c>
      <c r="J8" s="11" t="n">
        <f aca="false">Inputs!$E$59</f>
        <v>0.6</v>
      </c>
      <c r="K8" s="13" t="n">
        <f aca="false">Inputs!$E$58</f>
        <v>0.04</v>
      </c>
      <c r="L8" s="13" t="n">
        <f aca="false">Inputs!$E$44</f>
        <v>0.7</v>
      </c>
      <c r="M8" s="27" t="n">
        <f aca="false">(D8+Inputs!$E$33+B8+5*F8+5*L8*(Inputs!$E$38*Inputs!$E$39+Inputs!$E$40*Inputs!$E$41+Inputs!$E$42*Inputs!$E$43)+Inputs!$E$47*Inputs!$E$46+Inputs!$E$49*Inputs!$E$48)-(Inputs!$E$53*(H8+Inputs!$E$54*(1-H8))+Inputs!$E$55*(1-H8)+I8+Inputs!$E$57+C8+K8*B8+5*(Inputs_Yearly!$G$21*G8+J8*Inputs!$E$60+Inputs!$E$61)+5*L8*(Inputs!$E$38*Inputs!$E$39+Inputs!$E$40*Inputs!$E$41+Inputs!$E$42*Inputs!$E$43)*Inputs!$E$62+Inputs!$E$47*Inputs!$E$46*Inputs!$E$63+Inputs!$E$49*Inputs!$E$48*Inputs!$E$64+E8)</f>
        <v>228.1</v>
      </c>
      <c r="N8" s="27" t="n">
        <f aca="false">M8-$M$5</f>
        <v>-230</v>
      </c>
    </row>
    <row r="9" customFormat="false" ht="15" hidden="false" customHeight="false" outlineLevel="0" collapsed="false">
      <c r="A9" s="12" t="s">
        <v>539</v>
      </c>
      <c r="B9" s="11" t="n">
        <f aca="false">Inputs!$E$32</f>
        <v>1490</v>
      </c>
      <c r="C9" s="20" t="n">
        <f aca="false">Inputs_Yearly!$G$13*0.8</f>
        <v>920</v>
      </c>
      <c r="D9" s="11" t="n">
        <f aca="false">Inputs!$E$30</f>
        <v>450</v>
      </c>
      <c r="E9" s="11" t="n">
        <f aca="false">Inputs!$E$66</f>
        <v>150</v>
      </c>
      <c r="F9" s="11" t="n">
        <f aca="false">Inputs!$E$36</f>
        <v>48</v>
      </c>
      <c r="G9" s="11" t="n">
        <f aca="false">Inputs_Yearly!$G$25</f>
        <v>11</v>
      </c>
      <c r="H9" s="13" t="n">
        <f aca="false">Inputs_Yearly!$G$9</f>
        <v>0.65</v>
      </c>
      <c r="I9" s="11" t="n">
        <f aca="false">Inputs_Yearly!$G$17</f>
        <v>60</v>
      </c>
      <c r="J9" s="11" t="n">
        <f aca="false">Inputs!$E$59</f>
        <v>0.6</v>
      </c>
      <c r="K9" s="13" t="n">
        <f aca="false">Inputs!$E$58</f>
        <v>0.04</v>
      </c>
      <c r="L9" s="13" t="n">
        <f aca="false">Inputs!$E$44</f>
        <v>0.7</v>
      </c>
      <c r="M9" s="27" t="n">
        <f aca="false">(D9+Inputs!$E$33+B9+5*F9+5*L9*(Inputs!$E$38*Inputs!$E$39+Inputs!$E$40*Inputs!$E$41+Inputs!$E$42*Inputs!$E$43)+Inputs!$E$47*Inputs!$E$46+Inputs!$E$49*Inputs!$E$48)-(Inputs!$E$53*(H9+Inputs!$E$54*(1-H9))+Inputs!$E$55*(1-H9)+I9+Inputs!$E$57+C9+K9*B9+5*(Inputs_Yearly!$G$21*G9+J9*Inputs!$E$60+Inputs!$E$61)+5*L9*(Inputs!$E$38*Inputs!$E$39+Inputs!$E$40*Inputs!$E$41+Inputs!$E$42*Inputs!$E$43)*Inputs!$E$62+Inputs!$E$47*Inputs!$E$46*Inputs!$E$63+Inputs!$E$49*Inputs!$E$48*Inputs!$E$64+E9)</f>
        <v>688.1</v>
      </c>
      <c r="N9" s="27" t="n">
        <f aca="false">M9-$M$5</f>
        <v>230</v>
      </c>
    </row>
    <row r="10" customFormat="false" ht="15" hidden="false" customHeight="false" outlineLevel="0" collapsed="false">
      <c r="A10" s="12" t="s">
        <v>540</v>
      </c>
      <c r="B10" s="11" t="n">
        <f aca="false">Inputs!$E$32</f>
        <v>1490</v>
      </c>
      <c r="C10" s="11" t="n">
        <f aca="false">Inputs_Yearly!$G$13</f>
        <v>1150</v>
      </c>
      <c r="D10" s="20" t="n">
        <f aca="false">Inputs!$E$30*0.8</f>
        <v>360</v>
      </c>
      <c r="E10" s="11" t="n">
        <f aca="false">Inputs!$E$66</f>
        <v>150</v>
      </c>
      <c r="F10" s="11" t="n">
        <f aca="false">Inputs!$E$36</f>
        <v>48</v>
      </c>
      <c r="G10" s="11" t="n">
        <f aca="false">Inputs_Yearly!$G$25</f>
        <v>11</v>
      </c>
      <c r="H10" s="13" t="n">
        <f aca="false">Inputs_Yearly!$G$9</f>
        <v>0.65</v>
      </c>
      <c r="I10" s="11" t="n">
        <f aca="false">Inputs_Yearly!$G$17</f>
        <v>60</v>
      </c>
      <c r="J10" s="11" t="n">
        <f aca="false">Inputs!$E$59</f>
        <v>0.6</v>
      </c>
      <c r="K10" s="13" t="n">
        <f aca="false">Inputs!$E$58</f>
        <v>0.04</v>
      </c>
      <c r="L10" s="13" t="n">
        <f aca="false">Inputs!$E$44</f>
        <v>0.7</v>
      </c>
      <c r="M10" s="27" t="n">
        <f aca="false">(D10+Inputs!$E$33+B10+5*F10+5*L10*(Inputs!$E$38*Inputs!$E$39+Inputs!$E$40*Inputs!$E$41+Inputs!$E$42*Inputs!$E$43)+Inputs!$E$47*Inputs!$E$46+Inputs!$E$49*Inputs!$E$48)-(Inputs!$E$53*(H10+Inputs!$E$54*(1-H10))+Inputs!$E$55*(1-H10)+I10+Inputs!$E$57+C10+K10*B10+5*(Inputs_Yearly!$G$21*G10+J10*Inputs!$E$60+Inputs!$E$61)+5*L10*(Inputs!$E$38*Inputs!$E$39+Inputs!$E$40*Inputs!$E$41+Inputs!$E$42*Inputs!$E$43)*Inputs!$E$62+Inputs!$E$47*Inputs!$E$46*Inputs!$E$63+Inputs!$E$49*Inputs!$E$48*Inputs!$E$64+E10)</f>
        <v>368.1</v>
      </c>
      <c r="N10" s="27" t="n">
        <f aca="false">M10-$M$5</f>
        <v>-90</v>
      </c>
    </row>
    <row r="11" customFormat="false" ht="15" hidden="false" customHeight="false" outlineLevel="0" collapsed="false">
      <c r="A11" s="12" t="s">
        <v>541</v>
      </c>
      <c r="B11" s="11" t="n">
        <f aca="false">Inputs!$E$32</f>
        <v>1490</v>
      </c>
      <c r="C11" s="11" t="n">
        <f aca="false">Inputs_Yearly!$G$13</f>
        <v>1150</v>
      </c>
      <c r="D11" s="20" t="n">
        <f aca="false">Inputs!$E$30*1.2</f>
        <v>540</v>
      </c>
      <c r="E11" s="11" t="n">
        <f aca="false">Inputs!$E$66</f>
        <v>150</v>
      </c>
      <c r="F11" s="11" t="n">
        <f aca="false">Inputs!$E$36</f>
        <v>48</v>
      </c>
      <c r="G11" s="11" t="n">
        <f aca="false">Inputs_Yearly!$G$25</f>
        <v>11</v>
      </c>
      <c r="H11" s="13" t="n">
        <f aca="false">Inputs_Yearly!$G$9</f>
        <v>0.65</v>
      </c>
      <c r="I11" s="11" t="n">
        <f aca="false">Inputs_Yearly!$G$17</f>
        <v>60</v>
      </c>
      <c r="J11" s="11" t="n">
        <f aca="false">Inputs!$E$59</f>
        <v>0.6</v>
      </c>
      <c r="K11" s="13" t="n">
        <f aca="false">Inputs!$E$58</f>
        <v>0.04</v>
      </c>
      <c r="L11" s="13" t="n">
        <f aca="false">Inputs!$E$44</f>
        <v>0.7</v>
      </c>
      <c r="M11" s="27" t="n">
        <f aca="false">(D11+Inputs!$E$33+B11+5*F11+5*L11*(Inputs!$E$38*Inputs!$E$39+Inputs!$E$40*Inputs!$E$41+Inputs!$E$42*Inputs!$E$43)+Inputs!$E$47*Inputs!$E$46+Inputs!$E$49*Inputs!$E$48)-(Inputs!$E$53*(H11+Inputs!$E$54*(1-H11))+Inputs!$E$55*(1-H11)+I11+Inputs!$E$57+C11+K11*B11+5*(Inputs_Yearly!$G$21*G11+J11*Inputs!$E$60+Inputs!$E$61)+5*L11*(Inputs!$E$38*Inputs!$E$39+Inputs!$E$40*Inputs!$E$41+Inputs!$E$42*Inputs!$E$43)*Inputs!$E$62+Inputs!$E$47*Inputs!$E$46*Inputs!$E$63+Inputs!$E$49*Inputs!$E$48*Inputs!$E$64+E11)</f>
        <v>548.1</v>
      </c>
      <c r="N11" s="27" t="n">
        <f aca="false">M11-$M$5</f>
        <v>90</v>
      </c>
    </row>
    <row r="12" customFormat="false" ht="15" hidden="false" customHeight="false" outlineLevel="0" collapsed="false">
      <c r="A12" s="10" t="s">
        <v>542</v>
      </c>
      <c r="B12" s="11" t="n">
        <f aca="false">Inputs!$E$32</f>
        <v>1490</v>
      </c>
      <c r="C12" s="11" t="n">
        <f aca="false">Inputs_Yearly!$G$13</f>
        <v>1150</v>
      </c>
      <c r="D12" s="11" t="n">
        <f aca="false">Inputs!$E$30</f>
        <v>450</v>
      </c>
      <c r="E12" s="20" t="n">
        <f aca="false">Inputs!$E$66*1.5</f>
        <v>225</v>
      </c>
      <c r="F12" s="11" t="n">
        <f aca="false">Inputs!$E$36</f>
        <v>48</v>
      </c>
      <c r="G12" s="11" t="n">
        <f aca="false">Inputs_Yearly!$G$25</f>
        <v>11</v>
      </c>
      <c r="H12" s="13" t="n">
        <f aca="false">Inputs_Yearly!$G$9</f>
        <v>0.65</v>
      </c>
      <c r="I12" s="11" t="n">
        <f aca="false">Inputs_Yearly!$G$17</f>
        <v>60</v>
      </c>
      <c r="J12" s="11" t="n">
        <f aca="false">Inputs!$E$59</f>
        <v>0.6</v>
      </c>
      <c r="K12" s="13" t="n">
        <f aca="false">Inputs!$E$58</f>
        <v>0.04</v>
      </c>
      <c r="L12" s="13" t="n">
        <f aca="false">Inputs!$E$44</f>
        <v>0.7</v>
      </c>
      <c r="M12" s="27" t="n">
        <f aca="false">(D12+Inputs!$E$33+B12+5*F12+5*L12*(Inputs!$E$38*Inputs!$E$39+Inputs!$E$40*Inputs!$E$41+Inputs!$E$42*Inputs!$E$43)+Inputs!$E$47*Inputs!$E$46+Inputs!$E$49*Inputs!$E$48)-(Inputs!$E$53*(H12+Inputs!$E$54*(1-H12))+Inputs!$E$55*(1-H12)+I12+Inputs!$E$57+C12+K12*B12+5*(Inputs_Yearly!$G$21*G12+J12*Inputs!$E$60+Inputs!$E$61)+5*L12*(Inputs!$E$38*Inputs!$E$39+Inputs!$E$40*Inputs!$E$41+Inputs!$E$42*Inputs!$E$43)*Inputs!$E$62+Inputs!$E$47*Inputs!$E$46*Inputs!$E$63+Inputs!$E$49*Inputs!$E$48*Inputs!$E$64+E12)</f>
        <v>383.1</v>
      </c>
      <c r="N12" s="27" t="n">
        <f aca="false">M12-$M$5</f>
        <v>-75</v>
      </c>
    </row>
    <row r="13" customFormat="false" ht="15" hidden="false" customHeight="false" outlineLevel="0" collapsed="false">
      <c r="A13" s="10" t="s">
        <v>543</v>
      </c>
      <c r="B13" s="11" t="n">
        <f aca="false">Inputs!$E$32</f>
        <v>1490</v>
      </c>
      <c r="C13" s="11" t="n">
        <f aca="false">Inputs_Yearly!$G$13</f>
        <v>1150</v>
      </c>
      <c r="D13" s="11" t="n">
        <f aca="false">Inputs!$E$30</f>
        <v>450</v>
      </c>
      <c r="E13" s="20" t="n">
        <f aca="false">Inputs!$E$66*0.5</f>
        <v>75</v>
      </c>
      <c r="F13" s="11" t="n">
        <f aca="false">Inputs!$E$36</f>
        <v>48</v>
      </c>
      <c r="G13" s="11" t="n">
        <f aca="false">Inputs_Yearly!$G$25</f>
        <v>11</v>
      </c>
      <c r="H13" s="13" t="n">
        <f aca="false">Inputs_Yearly!$G$9</f>
        <v>0.65</v>
      </c>
      <c r="I13" s="11" t="n">
        <f aca="false">Inputs_Yearly!$G$17</f>
        <v>60</v>
      </c>
      <c r="J13" s="11" t="n">
        <f aca="false">Inputs!$E$59</f>
        <v>0.6</v>
      </c>
      <c r="K13" s="13" t="n">
        <f aca="false">Inputs!$E$58</f>
        <v>0.04</v>
      </c>
      <c r="L13" s="13" t="n">
        <f aca="false">Inputs!$E$44</f>
        <v>0.7</v>
      </c>
      <c r="M13" s="27" t="n">
        <f aca="false">(D13+Inputs!$E$33+B13+5*F13+5*L13*(Inputs!$E$38*Inputs!$E$39+Inputs!$E$40*Inputs!$E$41+Inputs!$E$42*Inputs!$E$43)+Inputs!$E$47*Inputs!$E$46+Inputs!$E$49*Inputs!$E$48)-(Inputs!$E$53*(H13+Inputs!$E$54*(1-H13))+Inputs!$E$55*(1-H13)+I13+Inputs!$E$57+C13+K13*B13+5*(Inputs_Yearly!$G$21*G13+J13*Inputs!$E$60+Inputs!$E$61)+5*L13*(Inputs!$E$38*Inputs!$E$39+Inputs!$E$40*Inputs!$E$41+Inputs!$E$42*Inputs!$E$43)*Inputs!$E$62+Inputs!$E$47*Inputs!$E$46*Inputs!$E$63+Inputs!$E$49*Inputs!$E$48*Inputs!$E$64+E13)</f>
        <v>533.1</v>
      </c>
      <c r="N13" s="27" t="n">
        <f aca="false">M13-$M$5</f>
        <v>75</v>
      </c>
    </row>
    <row r="14" customFormat="false" ht="15" hidden="false" customHeight="false" outlineLevel="0" collapsed="false">
      <c r="A14" s="12" t="s">
        <v>544</v>
      </c>
      <c r="B14" s="11" t="n">
        <f aca="false">Inputs!$E$32</f>
        <v>1490</v>
      </c>
      <c r="C14" s="11" t="n">
        <f aca="false">Inputs_Yearly!$G$13</f>
        <v>1150</v>
      </c>
      <c r="D14" s="11" t="n">
        <f aca="false">Inputs!$E$30</f>
        <v>450</v>
      </c>
      <c r="E14" s="11" t="n">
        <f aca="false">Inputs!$E$66</f>
        <v>150</v>
      </c>
      <c r="F14" s="11" t="n">
        <f aca="false">Inputs!$E$36</f>
        <v>48</v>
      </c>
      <c r="G14" s="11" t="n">
        <f aca="false">Inputs_Yearly!$G$25</f>
        <v>11</v>
      </c>
      <c r="H14" s="13" t="n">
        <f aca="false">Inputs_Yearly!$G$9</f>
        <v>0.65</v>
      </c>
      <c r="I14" s="11" t="n">
        <f aca="false">Inputs_Yearly!$G$17</f>
        <v>60</v>
      </c>
      <c r="J14" s="20" t="n">
        <f aca="false">1.2</f>
        <v>1.2</v>
      </c>
      <c r="K14" s="19" t="n">
        <f aca="false">0.06</f>
        <v>0.06</v>
      </c>
      <c r="L14" s="13" t="n">
        <f aca="false">Inputs!$E$44</f>
        <v>0.7</v>
      </c>
      <c r="M14" s="27" t="n">
        <f aca="false">(D14+Inputs!$E$33+B14+5*F14+5*L14*(Inputs!$E$38*Inputs!$E$39+Inputs!$E$40*Inputs!$E$41+Inputs!$E$42*Inputs!$E$43)+Inputs!$E$47*Inputs!$E$46+Inputs!$E$49*Inputs!$E$48)-(Inputs!$E$53*(H14+Inputs!$E$54*(1-H14))+Inputs!$E$55*(1-H14)+I14+Inputs!$E$57+C14+K14*B14+5*(Inputs_Yearly!$G$21*G14+J14*Inputs!$E$60+Inputs!$E$61)+5*L14*(Inputs!$E$38*Inputs!$E$39+Inputs!$E$40*Inputs!$E$41+Inputs!$E$42*Inputs!$E$43)*Inputs!$E$62+Inputs!$E$47*Inputs!$E$46*Inputs!$E$63+Inputs!$E$49*Inputs!$E$48*Inputs!$E$64+E14)</f>
        <v>374.3</v>
      </c>
      <c r="N14" s="27" t="n">
        <f aca="false">M14-$M$5</f>
        <v>-83.8000000000002</v>
      </c>
    </row>
    <row r="15" customFormat="false" ht="15" hidden="false" customHeight="false" outlineLevel="0" collapsed="false">
      <c r="A15" s="12" t="s">
        <v>545</v>
      </c>
      <c r="B15" s="11" t="n">
        <f aca="false">Inputs!$E$32</f>
        <v>1490</v>
      </c>
      <c r="C15" s="11" t="n">
        <f aca="false">Inputs_Yearly!$G$13</f>
        <v>1150</v>
      </c>
      <c r="D15" s="11" t="n">
        <f aca="false">Inputs!$E$30</f>
        <v>450</v>
      </c>
      <c r="E15" s="11" t="n">
        <f aca="false">Inputs!$E$66</f>
        <v>150</v>
      </c>
      <c r="F15" s="11" t="n">
        <f aca="false">Inputs!$E$36</f>
        <v>48</v>
      </c>
      <c r="G15" s="11" t="n">
        <f aca="false">Inputs_Yearly!$G$25</f>
        <v>11</v>
      </c>
      <c r="H15" s="13" t="n">
        <f aca="false">Inputs_Yearly!$G$9</f>
        <v>0.65</v>
      </c>
      <c r="I15" s="11" t="n">
        <f aca="false">Inputs_Yearly!$G$17</f>
        <v>60</v>
      </c>
      <c r="J15" s="20" t="n">
        <f aca="false">0.3</f>
        <v>0.3</v>
      </c>
      <c r="K15" s="19" t="n">
        <f aca="false">0.025</f>
        <v>0.025</v>
      </c>
      <c r="L15" s="13" t="n">
        <f aca="false">Inputs!$E$44</f>
        <v>0.7</v>
      </c>
      <c r="M15" s="27" t="n">
        <f aca="false">(D15+Inputs!$E$33+B15+5*F15+5*L15*(Inputs!$E$38*Inputs!$E$39+Inputs!$E$40*Inputs!$E$41+Inputs!$E$42*Inputs!$E$43)+Inputs!$E$47*Inputs!$E$46+Inputs!$E$49*Inputs!$E$48)-(Inputs!$E$53*(H15+Inputs!$E$54*(1-H15))+Inputs!$E$55*(1-H15)+I15+Inputs!$E$57+C15+K15*B15+5*(Inputs_Yearly!$G$21*G15+J15*Inputs!$E$60+Inputs!$E$61)+5*L15*(Inputs!$E$38*Inputs!$E$39+Inputs!$E$40*Inputs!$E$41+Inputs!$E$42*Inputs!$E$43)*Inputs!$E$62+Inputs!$E$47*Inputs!$E$46*Inputs!$E$63+Inputs!$E$49*Inputs!$E$48*Inputs!$E$64+E15)</f>
        <v>507.45</v>
      </c>
      <c r="N15" s="27" t="n">
        <f aca="false">M15-$M$5</f>
        <v>49.3499999999999</v>
      </c>
    </row>
    <row r="16" customFormat="false" ht="15" hidden="false" customHeight="false" outlineLevel="0" collapsed="false">
      <c r="A16" s="12" t="s">
        <v>546</v>
      </c>
      <c r="B16" s="11" t="n">
        <f aca="false">Inputs!$E$32</f>
        <v>1490</v>
      </c>
      <c r="C16" s="11" t="n">
        <f aca="false">Inputs_Yearly!$G$13</f>
        <v>1150</v>
      </c>
      <c r="D16" s="11" t="n">
        <f aca="false">Inputs!$E$30</f>
        <v>450</v>
      </c>
      <c r="E16" s="11" t="n">
        <f aca="false">Inputs!$E$66</f>
        <v>150</v>
      </c>
      <c r="F16" s="20" t="n">
        <f aca="false">Inputs!$E$36*0.8</f>
        <v>38.4</v>
      </c>
      <c r="G16" s="11" t="n">
        <f aca="false">Inputs_Yearly!$G$25</f>
        <v>11</v>
      </c>
      <c r="H16" s="13" t="n">
        <f aca="false">Inputs_Yearly!$G$9</f>
        <v>0.65</v>
      </c>
      <c r="I16" s="11" t="n">
        <f aca="false">Inputs_Yearly!$G$17</f>
        <v>60</v>
      </c>
      <c r="J16" s="11" t="n">
        <f aca="false">Inputs!$E$59</f>
        <v>0.6</v>
      </c>
      <c r="K16" s="13" t="n">
        <f aca="false">Inputs!$E$58</f>
        <v>0.04</v>
      </c>
      <c r="L16" s="13" t="n">
        <f aca="false">Inputs!$E$44</f>
        <v>0.7</v>
      </c>
      <c r="M16" s="27" t="n">
        <f aca="false">(D16+Inputs!$E$33+B16+5*F16+5*L16*(Inputs!$E$38*Inputs!$E$39+Inputs!$E$40*Inputs!$E$41+Inputs!$E$42*Inputs!$E$43)+Inputs!$E$47*Inputs!$E$46+Inputs!$E$49*Inputs!$E$48)-(Inputs!$E$53*(H16+Inputs!$E$54*(1-H16))+Inputs!$E$55*(1-H16)+I16+Inputs!$E$57+C16+K16*B16+5*(Inputs_Yearly!$G$21*G16+J16*Inputs!$E$60+Inputs!$E$61)+5*L16*(Inputs!$E$38*Inputs!$E$39+Inputs!$E$40*Inputs!$E$41+Inputs!$E$42*Inputs!$E$43)*Inputs!$E$62+Inputs!$E$47*Inputs!$E$46*Inputs!$E$63+Inputs!$E$49*Inputs!$E$48*Inputs!$E$64+E16)</f>
        <v>410.1</v>
      </c>
      <c r="N16" s="27" t="n">
        <f aca="false">M16-$M$5</f>
        <v>-48</v>
      </c>
    </row>
    <row r="17" customFormat="false" ht="15" hidden="false" customHeight="false" outlineLevel="0" collapsed="false">
      <c r="A17" s="12" t="s">
        <v>547</v>
      </c>
      <c r="B17" s="11" t="n">
        <f aca="false">Inputs!$E$32</f>
        <v>1490</v>
      </c>
      <c r="C17" s="11" t="n">
        <f aca="false">Inputs_Yearly!$G$13</f>
        <v>1150</v>
      </c>
      <c r="D17" s="11" t="n">
        <f aca="false">Inputs!$E$30</f>
        <v>450</v>
      </c>
      <c r="E17" s="11" t="n">
        <f aca="false">Inputs!$E$66</f>
        <v>150</v>
      </c>
      <c r="F17" s="20" t="n">
        <f aca="false">Inputs!$E$36*1.2</f>
        <v>57.6</v>
      </c>
      <c r="G17" s="11" t="n">
        <f aca="false">Inputs_Yearly!$G$25</f>
        <v>11</v>
      </c>
      <c r="H17" s="13" t="n">
        <f aca="false">Inputs_Yearly!$G$9</f>
        <v>0.65</v>
      </c>
      <c r="I17" s="11" t="n">
        <f aca="false">Inputs_Yearly!$G$17</f>
        <v>60</v>
      </c>
      <c r="J17" s="11" t="n">
        <f aca="false">Inputs!$E$59</f>
        <v>0.6</v>
      </c>
      <c r="K17" s="13" t="n">
        <f aca="false">Inputs!$E$58</f>
        <v>0.04</v>
      </c>
      <c r="L17" s="13" t="n">
        <f aca="false">Inputs!$E$44</f>
        <v>0.7</v>
      </c>
      <c r="M17" s="27" t="n">
        <f aca="false">(D17+Inputs!$E$33+B17+5*F17+5*L17*(Inputs!$E$38*Inputs!$E$39+Inputs!$E$40*Inputs!$E$41+Inputs!$E$42*Inputs!$E$43)+Inputs!$E$47*Inputs!$E$46+Inputs!$E$49*Inputs!$E$48)-(Inputs!$E$53*(H17+Inputs!$E$54*(1-H17))+Inputs!$E$55*(1-H17)+I17+Inputs!$E$57+C17+K17*B17+5*(Inputs_Yearly!$G$21*G17+J17*Inputs!$E$60+Inputs!$E$61)+5*L17*(Inputs!$E$38*Inputs!$E$39+Inputs!$E$40*Inputs!$E$41+Inputs!$E$42*Inputs!$E$43)*Inputs!$E$62+Inputs!$E$47*Inputs!$E$46*Inputs!$E$63+Inputs!$E$49*Inputs!$E$48*Inputs!$E$64+E17)</f>
        <v>506.1</v>
      </c>
      <c r="N17" s="27" t="n">
        <f aca="false">M17-$M$5</f>
        <v>48</v>
      </c>
    </row>
    <row r="18" customFormat="false" ht="15" hidden="false" customHeight="false" outlineLevel="0" collapsed="false">
      <c r="A18" s="10" t="s">
        <v>548</v>
      </c>
      <c r="B18" s="11" t="n">
        <f aca="false">Inputs!$E$32</f>
        <v>1490</v>
      </c>
      <c r="C18" s="11" t="n">
        <f aca="false">Inputs_Yearly!$G$13</f>
        <v>1150</v>
      </c>
      <c r="D18" s="11" t="n">
        <f aca="false">Inputs!$E$30</f>
        <v>450</v>
      </c>
      <c r="E18" s="11" t="n">
        <f aca="false">Inputs!$E$66</f>
        <v>150</v>
      </c>
      <c r="F18" s="11" t="n">
        <f aca="false">Inputs!$E$36</f>
        <v>48</v>
      </c>
      <c r="G18" s="20" t="n">
        <f aca="false">Inputs_Yearly!$G$25*1.3</f>
        <v>14.3</v>
      </c>
      <c r="H18" s="13" t="n">
        <f aca="false">Inputs_Yearly!$G$9</f>
        <v>0.65</v>
      </c>
      <c r="I18" s="11" t="n">
        <f aca="false">Inputs_Yearly!$G$17</f>
        <v>60</v>
      </c>
      <c r="J18" s="11" t="n">
        <f aca="false">Inputs!$E$59</f>
        <v>0.6</v>
      </c>
      <c r="K18" s="13" t="n">
        <f aca="false">Inputs!$E$58</f>
        <v>0.04</v>
      </c>
      <c r="L18" s="13" t="n">
        <f aca="false">Inputs!$E$44</f>
        <v>0.7</v>
      </c>
      <c r="M18" s="27" t="n">
        <f aca="false">(D18+Inputs!$E$33+B18+5*F18+5*L18*(Inputs!$E$38*Inputs!$E$39+Inputs!$E$40*Inputs!$E$41+Inputs!$E$42*Inputs!$E$43)+Inputs!$E$47*Inputs!$E$46+Inputs!$E$49*Inputs!$E$48)-(Inputs!$E$53*(H18+Inputs!$E$54*(1-H18))+Inputs!$E$55*(1-H18)+I18+Inputs!$E$57+C18+K18*B18+5*(Inputs_Yearly!$G$21*G18+J18*Inputs!$E$60+Inputs!$E$61)+5*L18*(Inputs!$E$38*Inputs!$E$39+Inputs!$E$40*Inputs!$E$41+Inputs!$E$42*Inputs!$E$43)*Inputs!$E$62+Inputs!$E$47*Inputs!$E$46*Inputs!$E$63+Inputs!$E$49*Inputs!$E$48*Inputs!$E$64+E18)</f>
        <v>425.1</v>
      </c>
      <c r="N18" s="27" t="n">
        <f aca="false">M18-$M$5</f>
        <v>-33</v>
      </c>
    </row>
    <row r="19" customFormat="false" ht="15" hidden="false" customHeight="false" outlineLevel="0" collapsed="false">
      <c r="A19" s="10" t="s">
        <v>549</v>
      </c>
      <c r="B19" s="11" t="n">
        <f aca="false">Inputs!$E$32</f>
        <v>1490</v>
      </c>
      <c r="C19" s="11" t="n">
        <f aca="false">Inputs_Yearly!$G$13</f>
        <v>1150</v>
      </c>
      <c r="D19" s="11" t="n">
        <f aca="false">Inputs!$E$30</f>
        <v>450</v>
      </c>
      <c r="E19" s="11" t="n">
        <f aca="false">Inputs!$E$66</f>
        <v>150</v>
      </c>
      <c r="F19" s="11" t="n">
        <f aca="false">Inputs!$E$36</f>
        <v>48</v>
      </c>
      <c r="G19" s="20" t="n">
        <f aca="false">Inputs_Yearly!$G$25*0.7</f>
        <v>7.7</v>
      </c>
      <c r="H19" s="13" t="n">
        <f aca="false">Inputs_Yearly!$G$9</f>
        <v>0.65</v>
      </c>
      <c r="I19" s="11" t="n">
        <f aca="false">Inputs_Yearly!$G$17</f>
        <v>60</v>
      </c>
      <c r="J19" s="11" t="n">
        <f aca="false">Inputs!$E$59</f>
        <v>0.6</v>
      </c>
      <c r="K19" s="13" t="n">
        <f aca="false">Inputs!$E$58</f>
        <v>0.04</v>
      </c>
      <c r="L19" s="13" t="n">
        <f aca="false">Inputs!$E$44</f>
        <v>0.7</v>
      </c>
      <c r="M19" s="27" t="n">
        <f aca="false">(D19+Inputs!$E$33+B19+5*F19+5*L19*(Inputs!$E$38*Inputs!$E$39+Inputs!$E$40*Inputs!$E$41+Inputs!$E$42*Inputs!$E$43)+Inputs!$E$47*Inputs!$E$46+Inputs!$E$49*Inputs!$E$48)-(Inputs!$E$53*(H19+Inputs!$E$54*(1-H19))+Inputs!$E$55*(1-H19)+I19+Inputs!$E$57+C19+K19*B19+5*(Inputs_Yearly!$G$21*G19+J19*Inputs!$E$60+Inputs!$E$61)+5*L19*(Inputs!$E$38*Inputs!$E$39+Inputs!$E$40*Inputs!$E$41+Inputs!$E$42*Inputs!$E$43)*Inputs!$E$62+Inputs!$E$47*Inputs!$E$46*Inputs!$E$63+Inputs!$E$49*Inputs!$E$48*Inputs!$E$64+E19)</f>
        <v>491.1</v>
      </c>
      <c r="N19" s="27" t="n">
        <f aca="false">M19-$M$5</f>
        <v>33</v>
      </c>
    </row>
    <row r="20" customFormat="false" ht="15" hidden="false" customHeight="false" outlineLevel="0" collapsed="false">
      <c r="A20" s="12" t="s">
        <v>550</v>
      </c>
      <c r="B20" s="11" t="n">
        <f aca="false">Inputs!$E$32</f>
        <v>1490</v>
      </c>
      <c r="C20" s="11" t="n">
        <f aca="false">Inputs_Yearly!$G$13</f>
        <v>1150</v>
      </c>
      <c r="D20" s="11" t="n">
        <f aca="false">Inputs!$E$30</f>
        <v>450</v>
      </c>
      <c r="E20" s="11" t="n">
        <f aca="false">Inputs!$E$66</f>
        <v>150</v>
      </c>
      <c r="F20" s="11" t="n">
        <f aca="false">Inputs!$E$36</f>
        <v>48</v>
      </c>
      <c r="G20" s="11" t="n">
        <f aca="false">Inputs_Yearly!$G$25</f>
        <v>11</v>
      </c>
      <c r="H20" s="19" t="n">
        <f aca="false">Inputs_Yearly!$G$9-0.15</f>
        <v>0.5</v>
      </c>
      <c r="I20" s="11" t="n">
        <f aca="false">Inputs_Yearly!$G$17</f>
        <v>60</v>
      </c>
      <c r="J20" s="11" t="n">
        <f aca="false">Inputs!$E$59</f>
        <v>0.6</v>
      </c>
      <c r="K20" s="13" t="n">
        <f aca="false">Inputs!$E$58</f>
        <v>0.04</v>
      </c>
      <c r="L20" s="13" t="n">
        <f aca="false">Inputs!$E$44</f>
        <v>0.7</v>
      </c>
      <c r="M20" s="27" t="n">
        <f aca="false">(D20+Inputs!$E$33+B20+5*F20+5*L20*(Inputs!$E$38*Inputs!$E$39+Inputs!$E$40*Inputs!$E$41+Inputs!$E$42*Inputs!$E$43)+Inputs!$E$47*Inputs!$E$46+Inputs!$E$49*Inputs!$E$48)-(Inputs!$E$53*(H20+Inputs!$E$54*(1-H20))+Inputs!$E$55*(1-H20)+I20+Inputs!$E$57+C20+K20*B20+5*(Inputs_Yearly!$G$21*G20+J20*Inputs!$E$60+Inputs!$E$61)+5*L20*(Inputs!$E$38*Inputs!$E$39+Inputs!$E$40*Inputs!$E$41+Inputs!$E$42*Inputs!$E$43)*Inputs!$E$62+Inputs!$E$47*Inputs!$E$46*Inputs!$E$63+Inputs!$E$49*Inputs!$E$48*Inputs!$E$64+E20)</f>
        <v>425.1</v>
      </c>
      <c r="N20" s="27" t="n">
        <f aca="false">M20-$M$5</f>
        <v>-33</v>
      </c>
    </row>
    <row r="21" customFormat="false" ht="15" hidden="false" customHeight="false" outlineLevel="0" collapsed="false">
      <c r="A21" s="12" t="s">
        <v>551</v>
      </c>
      <c r="B21" s="11" t="n">
        <f aca="false">Inputs!$E$32</f>
        <v>1490</v>
      </c>
      <c r="C21" s="11" t="n">
        <f aca="false">Inputs_Yearly!$G$13</f>
        <v>1150</v>
      </c>
      <c r="D21" s="11" t="n">
        <f aca="false">Inputs!$E$30</f>
        <v>450</v>
      </c>
      <c r="E21" s="11" t="n">
        <f aca="false">Inputs!$E$66</f>
        <v>150</v>
      </c>
      <c r="F21" s="11" t="n">
        <f aca="false">Inputs!$E$36</f>
        <v>48</v>
      </c>
      <c r="G21" s="11" t="n">
        <f aca="false">Inputs_Yearly!$G$25</f>
        <v>11</v>
      </c>
      <c r="H21" s="19" t="n">
        <f aca="false">Inputs_Yearly!$G$9+0.15</f>
        <v>0.8</v>
      </c>
      <c r="I21" s="11" t="n">
        <f aca="false">Inputs_Yearly!$G$17</f>
        <v>60</v>
      </c>
      <c r="J21" s="11" t="n">
        <f aca="false">Inputs!$E$59</f>
        <v>0.6</v>
      </c>
      <c r="K21" s="13" t="n">
        <f aca="false">Inputs!$E$58</f>
        <v>0.04</v>
      </c>
      <c r="L21" s="13" t="n">
        <f aca="false">Inputs!$E$44</f>
        <v>0.7</v>
      </c>
      <c r="M21" s="27" t="n">
        <f aca="false">(D21+Inputs!$E$33+B21+5*F21+5*L21*(Inputs!$E$38*Inputs!$E$39+Inputs!$E$40*Inputs!$E$41+Inputs!$E$42*Inputs!$E$43)+Inputs!$E$47*Inputs!$E$46+Inputs!$E$49*Inputs!$E$48)-(Inputs!$E$53*(H21+Inputs!$E$54*(1-H21))+Inputs!$E$55*(1-H21)+I21+Inputs!$E$57+C21+K21*B21+5*(Inputs_Yearly!$G$21*G21+J21*Inputs!$E$60+Inputs!$E$61)+5*L21*(Inputs!$E$38*Inputs!$E$39+Inputs!$E$40*Inputs!$E$41+Inputs!$E$42*Inputs!$E$43)*Inputs!$E$62+Inputs!$E$47*Inputs!$E$46*Inputs!$E$63+Inputs!$E$49*Inputs!$E$48*Inputs!$E$64+E21)</f>
        <v>491.1</v>
      </c>
      <c r="N21" s="27" t="n">
        <f aca="false">M21-$M$5</f>
        <v>33</v>
      </c>
    </row>
    <row r="22" customFormat="false" ht="15" hidden="false" customHeight="false" outlineLevel="0" collapsed="false">
      <c r="A22" s="10" t="s">
        <v>552</v>
      </c>
      <c r="B22" s="11" t="n">
        <f aca="false">Inputs!$E$32</f>
        <v>1490</v>
      </c>
      <c r="C22" s="11" t="n">
        <f aca="false">Inputs_Yearly!$G$13</f>
        <v>1150</v>
      </c>
      <c r="D22" s="11" t="n">
        <f aca="false">Inputs!$E$30</f>
        <v>450</v>
      </c>
      <c r="E22" s="11" t="n">
        <f aca="false">Inputs!$E$66</f>
        <v>150</v>
      </c>
      <c r="F22" s="11" t="n">
        <f aca="false">Inputs!$E$36</f>
        <v>48</v>
      </c>
      <c r="G22" s="11" t="n">
        <f aca="false">Inputs_Yearly!$G$25</f>
        <v>11</v>
      </c>
      <c r="H22" s="13" t="n">
        <f aca="false">Inputs_Yearly!$G$9</f>
        <v>0.65</v>
      </c>
      <c r="I22" s="20" t="n">
        <f aca="false">Inputs_Yearly!$G$17*1.5</f>
        <v>90</v>
      </c>
      <c r="J22" s="11" t="n">
        <f aca="false">Inputs!$E$59</f>
        <v>0.6</v>
      </c>
      <c r="K22" s="13" t="n">
        <f aca="false">Inputs!$E$58</f>
        <v>0.04</v>
      </c>
      <c r="L22" s="13" t="n">
        <f aca="false">Inputs!$E$44</f>
        <v>0.7</v>
      </c>
      <c r="M22" s="27" t="n">
        <f aca="false">(D22+Inputs!$E$33+B22+5*F22+5*L22*(Inputs!$E$38*Inputs!$E$39+Inputs!$E$40*Inputs!$E$41+Inputs!$E$42*Inputs!$E$43)+Inputs!$E$47*Inputs!$E$46+Inputs!$E$49*Inputs!$E$48)-(Inputs!$E$53*(H22+Inputs!$E$54*(1-H22))+Inputs!$E$55*(1-H22)+I22+Inputs!$E$57+C22+K22*B22+5*(Inputs_Yearly!$G$21*G22+J22*Inputs!$E$60+Inputs!$E$61)+5*L22*(Inputs!$E$38*Inputs!$E$39+Inputs!$E$40*Inputs!$E$41+Inputs!$E$42*Inputs!$E$43)*Inputs!$E$62+Inputs!$E$47*Inputs!$E$46*Inputs!$E$63+Inputs!$E$49*Inputs!$E$48*Inputs!$E$64+E22)</f>
        <v>428.1</v>
      </c>
      <c r="N22" s="27" t="n">
        <f aca="false">M22-$M$5</f>
        <v>-30</v>
      </c>
    </row>
    <row r="23" customFormat="false" ht="15" hidden="false" customHeight="false" outlineLevel="0" collapsed="false">
      <c r="A23" s="10" t="s">
        <v>553</v>
      </c>
      <c r="B23" s="11" t="n">
        <f aca="false">Inputs!$E$32</f>
        <v>1490</v>
      </c>
      <c r="C23" s="11" t="n">
        <f aca="false">Inputs_Yearly!$G$13</f>
        <v>1150</v>
      </c>
      <c r="D23" s="11" t="n">
        <f aca="false">Inputs!$E$30</f>
        <v>450</v>
      </c>
      <c r="E23" s="11" t="n">
        <f aca="false">Inputs!$E$66</f>
        <v>150</v>
      </c>
      <c r="F23" s="11" t="n">
        <f aca="false">Inputs!$E$36</f>
        <v>48</v>
      </c>
      <c r="G23" s="11" t="n">
        <f aca="false">Inputs_Yearly!$G$25</f>
        <v>11</v>
      </c>
      <c r="H23" s="13" t="n">
        <f aca="false">Inputs_Yearly!$G$9</f>
        <v>0.65</v>
      </c>
      <c r="I23" s="20" t="n">
        <f aca="false">Inputs_Yearly!$G$17*0.5</f>
        <v>30</v>
      </c>
      <c r="J23" s="11" t="n">
        <f aca="false">Inputs!$E$59</f>
        <v>0.6</v>
      </c>
      <c r="K23" s="13" t="n">
        <f aca="false">Inputs!$E$58</f>
        <v>0.04</v>
      </c>
      <c r="L23" s="13" t="n">
        <f aca="false">Inputs!$E$44</f>
        <v>0.7</v>
      </c>
      <c r="M23" s="27" t="n">
        <f aca="false">(D23+Inputs!$E$33+B23+5*F23+5*L23*(Inputs!$E$38*Inputs!$E$39+Inputs!$E$40*Inputs!$E$41+Inputs!$E$42*Inputs!$E$43)+Inputs!$E$47*Inputs!$E$46+Inputs!$E$49*Inputs!$E$48)-(Inputs!$E$53*(H23+Inputs!$E$54*(1-H23))+Inputs!$E$55*(1-H23)+I23+Inputs!$E$57+C23+K23*B23+5*(Inputs_Yearly!$G$21*G23+J23*Inputs!$E$60+Inputs!$E$61)+5*L23*(Inputs!$E$38*Inputs!$E$39+Inputs!$E$40*Inputs!$E$41+Inputs!$E$42*Inputs!$E$43)*Inputs!$E$62+Inputs!$E$47*Inputs!$E$46*Inputs!$E$63+Inputs!$E$49*Inputs!$E$48*Inputs!$E$64+E23)</f>
        <v>488.1</v>
      </c>
      <c r="N23" s="27" t="n">
        <f aca="false">M23-$M$5</f>
        <v>30</v>
      </c>
    </row>
    <row r="24" customFormat="false" ht="15" hidden="false" customHeight="false" outlineLevel="0" collapsed="false">
      <c r="A24" s="12" t="s">
        <v>554</v>
      </c>
      <c r="B24" s="11" t="n">
        <f aca="false">Inputs!$E$32</f>
        <v>1490</v>
      </c>
      <c r="C24" s="11" t="n">
        <f aca="false">Inputs_Yearly!$G$13</f>
        <v>1150</v>
      </c>
      <c r="D24" s="11" t="n">
        <f aca="false">Inputs!$E$30</f>
        <v>450</v>
      </c>
      <c r="E24" s="11" t="n">
        <f aca="false">Inputs!$E$66</f>
        <v>150</v>
      </c>
      <c r="F24" s="11" t="n">
        <f aca="false">Inputs!$E$36</f>
        <v>48</v>
      </c>
      <c r="G24" s="11" t="n">
        <f aca="false">Inputs_Yearly!$G$25</f>
        <v>11</v>
      </c>
      <c r="H24" s="13" t="n">
        <f aca="false">Inputs_Yearly!$G$9</f>
        <v>0.65</v>
      </c>
      <c r="I24" s="11" t="n">
        <f aca="false">Inputs_Yearly!$G$17</f>
        <v>60</v>
      </c>
      <c r="J24" s="11" t="n">
        <f aca="false">Inputs!$E$59</f>
        <v>0.6</v>
      </c>
      <c r="K24" s="13" t="n">
        <f aca="false">Inputs!$E$58</f>
        <v>0.04</v>
      </c>
      <c r="L24" s="19" t="n">
        <f aca="false">0.5</f>
        <v>0.5</v>
      </c>
      <c r="M24" s="27" t="n">
        <f aca="false">(D24+Inputs!$E$33+B24+5*F24+5*L24*(Inputs!$E$38*Inputs!$E$39+Inputs!$E$40*Inputs!$E$41+Inputs!$E$42*Inputs!$E$43)+Inputs!$E$47*Inputs!$E$46+Inputs!$E$49*Inputs!$E$48)-(Inputs!$E$53*(H24+Inputs!$E$54*(1-H24))+Inputs!$E$55*(1-H24)+I24+Inputs!$E$57+C24+K24*B24+5*(Inputs_Yearly!$G$21*G24+J24*Inputs!$E$60+Inputs!$E$61)+5*L24*(Inputs!$E$38*Inputs!$E$39+Inputs!$E$40*Inputs!$E$41+Inputs!$E$42*Inputs!$E$43)*Inputs!$E$62+Inputs!$E$47*Inputs!$E$46*Inputs!$E$63+Inputs!$E$49*Inputs!$E$48*Inputs!$E$64+E24)</f>
        <v>434.7</v>
      </c>
      <c r="N24" s="27" t="n">
        <f aca="false">M24-$M$5</f>
        <v>-23.4000000000001</v>
      </c>
    </row>
    <row r="25" customFormat="false" ht="15" hidden="false" customHeight="false" outlineLevel="0" collapsed="false">
      <c r="A25" s="12" t="s">
        <v>555</v>
      </c>
      <c r="B25" s="11" t="n">
        <f aca="false">Inputs!$E$32</f>
        <v>1490</v>
      </c>
      <c r="C25" s="11" t="n">
        <f aca="false">Inputs_Yearly!$G$13</f>
        <v>1150</v>
      </c>
      <c r="D25" s="11" t="n">
        <f aca="false">Inputs!$E$30</f>
        <v>450</v>
      </c>
      <c r="E25" s="11" t="n">
        <f aca="false">Inputs!$E$66</f>
        <v>150</v>
      </c>
      <c r="F25" s="11" t="n">
        <f aca="false">Inputs!$E$36</f>
        <v>48</v>
      </c>
      <c r="G25" s="11" t="n">
        <f aca="false">Inputs_Yearly!$G$25</f>
        <v>11</v>
      </c>
      <c r="H25" s="13" t="n">
        <f aca="false">Inputs_Yearly!$G$9</f>
        <v>0.65</v>
      </c>
      <c r="I25" s="11" t="n">
        <f aca="false">Inputs_Yearly!$G$17</f>
        <v>60</v>
      </c>
      <c r="J25" s="11" t="n">
        <f aca="false">Inputs!$E$59</f>
        <v>0.6</v>
      </c>
      <c r="K25" s="13" t="n">
        <f aca="false">Inputs!$E$58</f>
        <v>0.04</v>
      </c>
      <c r="L25" s="19" t="n">
        <f aca="false">0.9</f>
        <v>0.9</v>
      </c>
      <c r="M25" s="27" t="n">
        <f aca="false">(D25+Inputs!$E$33+B25+5*F25+5*L25*(Inputs!$E$38*Inputs!$E$39+Inputs!$E$40*Inputs!$E$41+Inputs!$E$42*Inputs!$E$43)+Inputs!$E$47*Inputs!$E$46+Inputs!$E$49*Inputs!$E$48)-(Inputs!$E$53*(H25+Inputs!$E$54*(1-H25))+Inputs!$E$55*(1-H25)+I25+Inputs!$E$57+C25+K25*B25+5*(Inputs_Yearly!$G$21*G25+J25*Inputs!$E$60+Inputs!$E$61)+5*L25*(Inputs!$E$38*Inputs!$E$39+Inputs!$E$40*Inputs!$E$41+Inputs!$E$42*Inputs!$E$43)*Inputs!$E$62+Inputs!$E$47*Inputs!$E$46*Inputs!$E$63+Inputs!$E$49*Inputs!$E$48*Inputs!$E$64+E25)</f>
        <v>481.5</v>
      </c>
      <c r="N25" s="27" t="n">
        <f aca="false">M25-$M$5</f>
        <v>23.3999999999999</v>
      </c>
    </row>
    <row r="28" customFormat="false" ht="15" hidden="false" customHeight="false" outlineLevel="0" collapsed="false">
      <c r="A28" s="25" t="s">
        <v>556</v>
      </c>
    </row>
    <row r="29" customFormat="false" ht="15" hidden="false" customHeight="false" outlineLevel="0" collapsed="false">
      <c r="A29" s="9" t="s">
        <v>557</v>
      </c>
      <c r="B29" s="9" t="s">
        <v>558</v>
      </c>
      <c r="C29" s="9" t="s">
        <v>559</v>
      </c>
      <c r="D29" s="8"/>
      <c r="E29" s="8"/>
      <c r="F29" s="8"/>
      <c r="G29" s="8"/>
      <c r="H29" s="8"/>
      <c r="I29" s="8"/>
      <c r="J29" s="8"/>
      <c r="K29" s="8"/>
      <c r="L29" s="8"/>
    </row>
    <row r="30" customFormat="false" ht="15" hidden="false" customHeight="false" outlineLevel="0" collapsed="false">
      <c r="A30" s="18" t="s">
        <v>560</v>
      </c>
      <c r="B30" s="17" t="n">
        <v>203048.8</v>
      </c>
    </row>
    <row r="31" customFormat="false" ht="15" hidden="false" customHeight="false" outlineLevel="0" collapsed="false">
      <c r="A31" s="12" t="s">
        <v>561</v>
      </c>
      <c r="B31" s="17" t="n">
        <v>-123292.3</v>
      </c>
      <c r="C31" s="17" t="n">
        <v>123292.3</v>
      </c>
    </row>
    <row r="32" customFormat="false" ht="15" hidden="false" customHeight="false" outlineLevel="0" collapsed="false">
      <c r="A32" s="12" t="s">
        <v>562</v>
      </c>
      <c r="B32" s="17" t="n">
        <v>-65950.4</v>
      </c>
      <c r="C32" s="17" t="n">
        <v>65950.4</v>
      </c>
    </row>
    <row r="33" customFormat="false" ht="15" hidden="false" customHeight="false" outlineLevel="0" collapsed="false">
      <c r="A33" s="12" t="s">
        <v>563</v>
      </c>
      <c r="B33" s="17" t="n">
        <v>-47955</v>
      </c>
      <c r="C33" s="17" t="n">
        <v>47955</v>
      </c>
    </row>
    <row r="34" customFormat="false" ht="15" hidden="false" customHeight="false" outlineLevel="0" collapsed="false">
      <c r="A34" s="12" t="s">
        <v>564</v>
      </c>
      <c r="B34" s="17" t="n">
        <v>-31322.8</v>
      </c>
      <c r="C34" s="17" t="n">
        <v>15661.4</v>
      </c>
    </row>
    <row r="35" customFormat="false" ht="15" hidden="false" customHeight="false" outlineLevel="0" collapsed="false">
      <c r="A35" s="12" t="s">
        <v>565</v>
      </c>
      <c r="B35" s="17" t="n">
        <v>-13667.6</v>
      </c>
      <c r="C35" s="17" t="n">
        <v>9411</v>
      </c>
    </row>
    <row r="36" customFormat="false" ht="15" hidden="false" customHeight="false" outlineLevel="0" collapsed="false">
      <c r="A36" s="12" t="s">
        <v>566</v>
      </c>
      <c r="B36" s="17" t="n">
        <v>-11409.8</v>
      </c>
      <c r="C36" s="17" t="n">
        <v>11409.8</v>
      </c>
    </row>
    <row r="37" customFormat="false" ht="15" hidden="false" customHeight="false" outlineLevel="0" collapsed="false">
      <c r="A37" s="12" t="s">
        <v>567</v>
      </c>
      <c r="B37" s="17" t="n">
        <v>-13200</v>
      </c>
      <c r="C37" s="17" t="n">
        <v>8800</v>
      </c>
    </row>
    <row r="38" customFormat="false" ht="15" hidden="false" customHeight="false" outlineLevel="0" collapsed="false">
      <c r="A38" s="10" t="s">
        <v>568</v>
      </c>
      <c r="B38" s="17" t="n">
        <v>-7825.2</v>
      </c>
      <c r="C38" s="17" t="n">
        <v>7825.2</v>
      </c>
    </row>
    <row r="39" customFormat="false" ht="15" hidden="false" customHeight="false" outlineLevel="0" collapsed="false">
      <c r="A39" s="10" t="s">
        <v>569</v>
      </c>
      <c r="B39" s="17" t="n">
        <v>-6904.1</v>
      </c>
      <c r="C39" s="17" t="n">
        <v>6904.1</v>
      </c>
    </row>
    <row r="40" customFormat="false" ht="15" hidden="false" customHeight="false" outlineLevel="0" collapsed="false">
      <c r="A40" s="12" t="s">
        <v>570</v>
      </c>
      <c r="B40" s="17" t="n">
        <v>-1119.6</v>
      </c>
      <c r="C40" s="17" t="n">
        <v>1119.6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4" min="2" style="0" width="14"/>
    <col collapsed="false" customWidth="true" hidden="false" outlineLevel="0" max="5" min="5" style="0" width="58"/>
  </cols>
  <sheetData>
    <row r="1" customFormat="false" ht="19.4" hidden="false" customHeight="false" outlineLevel="0" collapsed="false">
      <c r="A1" s="6" t="s">
        <v>571</v>
      </c>
    </row>
    <row r="3" customFormat="false" ht="15" hidden="false" customHeight="false" outlineLevel="0" collapsed="false">
      <c r="A3" s="8" t="s">
        <v>572</v>
      </c>
      <c r="B3" s="8" t="s">
        <v>24</v>
      </c>
      <c r="C3" s="8" t="s">
        <v>25</v>
      </c>
      <c r="D3" s="9" t="s">
        <v>472</v>
      </c>
      <c r="E3" s="9" t="s">
        <v>412</v>
      </c>
    </row>
    <row r="4" customFormat="false" ht="15" hidden="false" customHeight="false" outlineLevel="0" collapsed="false">
      <c r="A4" s="10" t="s">
        <v>394</v>
      </c>
      <c r="B4" s="14" t="n">
        <f aca="false">FM_Base!$C$66</f>
        <v>37400</v>
      </c>
      <c r="C4" s="14" t="n">
        <f aca="false">FM_Base!$D$66</f>
        <v>59500</v>
      </c>
      <c r="D4" s="24" t="n">
        <f aca="false">B4+C4</f>
        <v>96900</v>
      </c>
      <c r="E4" s="10" t="s">
        <v>573</v>
      </c>
    </row>
    <row r="5" customFormat="false" ht="15" hidden="false" customHeight="false" outlineLevel="0" collapsed="false">
      <c r="A5" s="10" t="s">
        <v>574</v>
      </c>
      <c r="B5" s="14" t="n">
        <f aca="false">FM_Base!$C$67</f>
        <v>29500</v>
      </c>
      <c r="C5" s="14" t="n">
        <f aca="false">FM_Base!$D$67</f>
        <v>27500</v>
      </c>
      <c r="D5" s="24" t="n">
        <f aca="false">B5+C5</f>
        <v>57000</v>
      </c>
      <c r="E5" s="12" t="s">
        <v>575</v>
      </c>
    </row>
    <row r="6" customFormat="false" ht="15" hidden="false" customHeight="false" outlineLevel="0" collapsed="false">
      <c r="A6" s="10" t="s">
        <v>576</v>
      </c>
      <c r="B6" s="14" t="n">
        <f aca="false">-FM_Base!$C$70-FM_Base!$C$68</f>
        <v>0</v>
      </c>
      <c r="C6" s="14" t="n">
        <f aca="false">-FM_Base!$D$70-FM_Base!$D$68</f>
        <v>3594.8985</v>
      </c>
      <c r="D6" s="24" t="n">
        <f aca="false">B6+C6</f>
        <v>3594.8985</v>
      </c>
      <c r="E6" s="10" t="s">
        <v>577</v>
      </c>
    </row>
    <row r="7" customFormat="false" ht="15" hidden="false" customHeight="false" outlineLevel="0" collapsed="false">
      <c r="A7" s="25" t="s">
        <v>578</v>
      </c>
      <c r="B7" s="30" t="n">
        <f aca="false">SUM(B4:B6)</f>
        <v>66900</v>
      </c>
      <c r="C7" s="30" t="n">
        <f aca="false">SUM(C4:C6)</f>
        <v>90594.8985</v>
      </c>
      <c r="D7" s="30" t="n">
        <f aca="false">SUM(D4:D6)</f>
        <v>157494.8985</v>
      </c>
    </row>
    <row r="9" customFormat="false" ht="15" hidden="false" customHeight="false" outlineLevel="0" collapsed="false">
      <c r="A9" s="8" t="s">
        <v>579</v>
      </c>
      <c r="B9" s="8" t="s">
        <v>580</v>
      </c>
      <c r="C9" s="8" t="s">
        <v>581</v>
      </c>
      <c r="D9" s="9" t="s">
        <v>472</v>
      </c>
      <c r="E9" s="9" t="s">
        <v>582</v>
      </c>
    </row>
    <row r="10" customFormat="false" ht="15" hidden="false" customHeight="false" outlineLevel="0" collapsed="false">
      <c r="A10" s="10" t="s">
        <v>583</v>
      </c>
      <c r="B10" s="17" t="n">
        <v>23233.3</v>
      </c>
      <c r="C10" s="17" t="n">
        <v>31450</v>
      </c>
      <c r="D10" s="24" t="n">
        <f aca="false">B10+C10</f>
        <v>54683.3</v>
      </c>
      <c r="E10" s="12" t="s">
        <v>584</v>
      </c>
    </row>
    <row r="11" customFormat="false" ht="15" hidden="false" customHeight="false" outlineLevel="0" collapsed="false">
      <c r="A11" s="10" t="s">
        <v>585</v>
      </c>
      <c r="B11" s="17" t="n">
        <v>4250</v>
      </c>
      <c r="C11" s="17" t="n">
        <v>4250</v>
      </c>
      <c r="D11" s="24" t="n">
        <f aca="false">B11+C11</f>
        <v>8500</v>
      </c>
      <c r="E11" s="12" t="s">
        <v>584</v>
      </c>
    </row>
    <row r="12" customFormat="false" ht="15" hidden="false" customHeight="false" outlineLevel="0" collapsed="false">
      <c r="A12" s="10" t="s">
        <v>586</v>
      </c>
      <c r="B12" s="17" t="n">
        <v>12000</v>
      </c>
      <c r="C12" s="17" t="n">
        <v>6500</v>
      </c>
      <c r="D12" s="24" t="n">
        <f aca="false">B12+C12</f>
        <v>18500</v>
      </c>
      <c r="E12" s="12" t="s">
        <v>584</v>
      </c>
    </row>
    <row r="13" customFormat="false" ht="15" hidden="false" customHeight="false" outlineLevel="0" collapsed="false">
      <c r="A13" s="10" t="s">
        <v>587</v>
      </c>
      <c r="B13" s="17" t="n">
        <v>6000</v>
      </c>
      <c r="C13" s="17" t="n">
        <v>9200</v>
      </c>
      <c r="D13" s="24" t="n">
        <f aca="false">B13+C13</f>
        <v>15200</v>
      </c>
      <c r="E13" s="12" t="s">
        <v>584</v>
      </c>
    </row>
    <row r="14" customFormat="false" ht="15" hidden="false" customHeight="false" outlineLevel="0" collapsed="false">
      <c r="A14" s="10" t="s">
        <v>588</v>
      </c>
      <c r="B14" s="17" t="n">
        <v>1400</v>
      </c>
      <c r="C14" s="17" t="n">
        <v>1800</v>
      </c>
      <c r="D14" s="24" t="n">
        <f aca="false">B14+C14</f>
        <v>3200</v>
      </c>
      <c r="E14" s="12" t="s">
        <v>584</v>
      </c>
    </row>
    <row r="15" customFormat="false" ht="15" hidden="false" customHeight="false" outlineLevel="0" collapsed="false">
      <c r="A15" s="10" t="s">
        <v>589</v>
      </c>
      <c r="B15" s="17" t="n">
        <v>3116.7</v>
      </c>
      <c r="C15" s="17" t="n">
        <v>3466.7</v>
      </c>
      <c r="D15" s="24" t="n">
        <f aca="false">B15+C15</f>
        <v>6583.4</v>
      </c>
      <c r="E15" s="12" t="s">
        <v>584</v>
      </c>
    </row>
    <row r="16" customFormat="false" ht="15" hidden="false" customHeight="false" outlineLevel="0" collapsed="false">
      <c r="A16" s="18" t="s">
        <v>590</v>
      </c>
      <c r="B16" s="30" t="n">
        <f aca="false">SUM(B10:B15)</f>
        <v>50000</v>
      </c>
      <c r="C16" s="30" t="n">
        <f aca="false">SUM(C10:C15)</f>
        <v>56666.7</v>
      </c>
      <c r="D16" s="30" t="n">
        <f aca="false">SUM(D10:D15)</f>
        <v>106666.7</v>
      </c>
    </row>
    <row r="17" customFormat="false" ht="15" hidden="false" customHeight="false" outlineLevel="0" collapsed="false">
      <c r="A17" s="10" t="s">
        <v>591</v>
      </c>
      <c r="D17" s="24" t="n">
        <f aca="false">Inputs!$E$79</f>
        <v>80000</v>
      </c>
      <c r="E17" s="12"/>
    </row>
    <row r="18" customFormat="false" ht="15" hidden="false" customHeight="false" outlineLevel="0" collapsed="false">
      <c r="A18" s="10" t="s">
        <v>592</v>
      </c>
      <c r="D18" s="26" t="n">
        <f aca="false">Inputs!$E$79/D16</f>
        <v>0.749999765625073</v>
      </c>
      <c r="E18" s="10" t="s">
        <v>593</v>
      </c>
    </row>
    <row r="19" customFormat="false" ht="15" hidden="false" customHeight="false" outlineLevel="0" collapsed="false">
      <c r="A19" s="10" t="s">
        <v>594</v>
      </c>
      <c r="D19" s="24" t="n">
        <f aca="false">IF(Inputs!$E$79/D16&lt;=Inputs!$E$81+0.0001,1,0)</f>
        <v>1</v>
      </c>
      <c r="E19" s="12"/>
    </row>
    <row r="20" customFormat="false" ht="15" hidden="false" customHeight="false" outlineLevel="0" collapsed="false">
      <c r="A20" s="10" t="s">
        <v>595</v>
      </c>
      <c r="D20" s="24" t="n">
        <f aca="false">D16-Inputs!$E$79</f>
        <v>26666.7</v>
      </c>
      <c r="E20" s="12"/>
    </row>
    <row r="21" customFormat="false" ht="15" hidden="false" customHeight="false" outlineLevel="0" collapsed="false">
      <c r="A21" s="10" t="s">
        <v>596</v>
      </c>
      <c r="D21" s="24" t="n">
        <f aca="false">D11</f>
        <v>8500</v>
      </c>
      <c r="E21" s="10" t="s">
        <v>597</v>
      </c>
    </row>
    <row r="22" customFormat="false" ht="15" hidden="false" customHeight="false" outlineLevel="0" collapsed="false">
      <c r="A22" s="10" t="s">
        <v>598</v>
      </c>
      <c r="D22" s="24" t="n">
        <f aca="false">D16-Inputs!$E$79-(D11)</f>
        <v>18166.7</v>
      </c>
      <c r="E22" s="12"/>
    </row>
    <row r="23" customFormat="false" ht="15" hidden="false" customHeight="false" outlineLevel="0" collapsed="false">
      <c r="A23" s="10" t="s">
        <v>599</v>
      </c>
      <c r="D23" s="24" t="n">
        <f aca="false">IF((D16-Inputs!$E$79-(D11))/(D16-Inputs!$E$79)&gt;=Inputs!$E$82-0.0001,1,0)</f>
        <v>1</v>
      </c>
      <c r="E23" s="10" t="s">
        <v>600</v>
      </c>
    </row>
    <row r="25" customFormat="false" ht="15" hidden="false" customHeight="false" outlineLevel="0" collapsed="false">
      <c r="A25" s="8" t="s">
        <v>601</v>
      </c>
      <c r="B25" s="8"/>
      <c r="C25" s="8"/>
      <c r="D25" s="9" t="s">
        <v>602</v>
      </c>
      <c r="E25" s="9" t="s">
        <v>603</v>
      </c>
    </row>
    <row r="26" customFormat="false" ht="15" hidden="false" customHeight="false" outlineLevel="0" collapsed="false">
      <c r="A26" s="12" t="s">
        <v>604</v>
      </c>
      <c r="D26" s="14" t="n">
        <f aca="false">Inputs!$E$79</f>
        <v>80000</v>
      </c>
      <c r="E26" s="12" t="s">
        <v>605</v>
      </c>
    </row>
    <row r="27" customFormat="false" ht="15" hidden="false" customHeight="false" outlineLevel="0" collapsed="false">
      <c r="A27" s="10" t="s">
        <v>606</v>
      </c>
      <c r="D27" s="14" t="n">
        <f aca="false">Inputs!$E$83</f>
        <v>30000</v>
      </c>
      <c r="E27" s="12" t="s">
        <v>84</v>
      </c>
    </row>
    <row r="28" customFormat="false" ht="15" hidden="false" customHeight="false" outlineLevel="0" collapsed="false">
      <c r="A28" s="10" t="s">
        <v>607</v>
      </c>
      <c r="D28" s="14" t="n">
        <f aca="false">Inputs!$E$84</f>
        <v>50000</v>
      </c>
      <c r="E28" s="12" t="s">
        <v>271</v>
      </c>
    </row>
    <row r="29" customFormat="false" ht="15" hidden="false" customHeight="false" outlineLevel="0" collapsed="false">
      <c r="A29" s="25" t="s">
        <v>608</v>
      </c>
      <c r="D29" s="30" t="n">
        <f aca="false">SUM(D26:D28)</f>
        <v>160000</v>
      </c>
    </row>
    <row r="30" customFormat="false" ht="15" hidden="false" customHeight="false" outlineLevel="0" collapsed="false">
      <c r="A30" s="10" t="s">
        <v>609</v>
      </c>
      <c r="D30" s="24" t="n">
        <f aca="false">D7</f>
        <v>157494.8985</v>
      </c>
      <c r="E30" s="12"/>
    </row>
    <row r="31" customFormat="false" ht="15" hidden="false" customHeight="false" outlineLevel="0" collapsed="false">
      <c r="A31" s="25" t="s">
        <v>610</v>
      </c>
      <c r="D31" s="24" t="n">
        <f aca="false">D29-D7</f>
        <v>2505.10149999999</v>
      </c>
      <c r="E31" s="12"/>
    </row>
    <row r="32" customFormat="false" ht="15" hidden="false" customHeight="false" outlineLevel="0" collapsed="false">
      <c r="A32" s="10" t="s">
        <v>611</v>
      </c>
      <c r="D32" s="24" t="n">
        <f aca="false">D7-D16</f>
        <v>50828.1985</v>
      </c>
      <c r="E32" s="10" t="s">
        <v>612</v>
      </c>
    </row>
    <row r="33" customFormat="false" ht="15" hidden="false" customHeight="false" outlineLevel="0" collapsed="false">
      <c r="A33" s="10" t="s">
        <v>613</v>
      </c>
      <c r="D33" s="24" t="n">
        <f aca="false">D7-Inputs!$E$79</f>
        <v>77494.8985</v>
      </c>
      <c r="E33" s="10" t="s">
        <v>614</v>
      </c>
    </row>
    <row r="34" customFormat="false" ht="15" hidden="false" customHeight="false" outlineLevel="0" collapsed="false">
      <c r="A34" s="10" t="s">
        <v>615</v>
      </c>
      <c r="D34" s="20" t="n">
        <v>17.7</v>
      </c>
      <c r="E34" s="10" t="s">
        <v>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90"/>
  </cols>
  <sheetData>
    <row r="1" customFormat="false" ht="19.4" hidden="false" customHeight="false" outlineLevel="0" collapsed="false">
      <c r="A1" s="6" t="s">
        <v>617</v>
      </c>
    </row>
    <row r="3" customFormat="false" ht="15" hidden="false" customHeight="false" outlineLevel="0" collapsed="false">
      <c r="A3" s="9" t="s">
        <v>49</v>
      </c>
      <c r="B3" s="9" t="s">
        <v>474</v>
      </c>
      <c r="C3" s="9" t="s">
        <v>618</v>
      </c>
      <c r="D3" s="8" t="s">
        <v>619</v>
      </c>
    </row>
    <row r="4" customFormat="false" ht="38.05" hidden="false" customHeight="false" outlineLevel="0" collapsed="false">
      <c r="A4" s="3" t="s">
        <v>620</v>
      </c>
      <c r="B4" s="2" t="s">
        <v>621</v>
      </c>
      <c r="C4" s="2" t="s">
        <v>622</v>
      </c>
      <c r="D4" s="3" t="s">
        <v>623</v>
      </c>
    </row>
    <row r="5" customFormat="false" ht="25.35" hidden="false" customHeight="false" outlineLevel="0" collapsed="false">
      <c r="A5" s="3" t="s">
        <v>624</v>
      </c>
      <c r="B5" s="2" t="s">
        <v>625</v>
      </c>
      <c r="C5" s="2" t="s">
        <v>626</v>
      </c>
      <c r="D5" s="3" t="s">
        <v>627</v>
      </c>
    </row>
    <row r="6" customFormat="false" ht="64.9" hidden="false" customHeight="false" outlineLevel="0" collapsed="false">
      <c r="A6" s="2" t="s">
        <v>628</v>
      </c>
      <c r="B6" s="2" t="s">
        <v>629</v>
      </c>
      <c r="C6" s="2" t="s">
        <v>630</v>
      </c>
      <c r="D6" s="3" t="s">
        <v>631</v>
      </c>
    </row>
    <row r="7" customFormat="false" ht="26.85" hidden="false" customHeight="false" outlineLevel="0" collapsed="false">
      <c r="A7" s="3" t="s">
        <v>632</v>
      </c>
      <c r="B7" s="2" t="s">
        <v>633</v>
      </c>
      <c r="C7" s="2" t="s">
        <v>630</v>
      </c>
      <c r="D7" s="3" t="s">
        <v>634</v>
      </c>
    </row>
    <row r="8" customFormat="false" ht="39.55" hidden="false" customHeight="false" outlineLevel="0" collapsed="false">
      <c r="A8" s="3" t="s">
        <v>635</v>
      </c>
      <c r="B8" s="2" t="s">
        <v>636</v>
      </c>
      <c r="C8" s="3" t="s">
        <v>77</v>
      </c>
      <c r="D8" s="2" t="s">
        <v>637</v>
      </c>
    </row>
    <row r="9" customFormat="false" ht="39.55" hidden="false" customHeight="false" outlineLevel="0" collapsed="false">
      <c r="A9" s="3" t="s">
        <v>638</v>
      </c>
      <c r="B9" s="2" t="s">
        <v>639</v>
      </c>
      <c r="C9" s="2" t="s">
        <v>640</v>
      </c>
      <c r="D9" s="2" t="s">
        <v>641</v>
      </c>
    </row>
    <row r="10" customFormat="false" ht="63.4" hidden="false" customHeight="false" outlineLevel="0" collapsed="false">
      <c r="A10" s="3" t="s">
        <v>642</v>
      </c>
      <c r="B10" s="2" t="s">
        <v>643</v>
      </c>
      <c r="C10" s="3" t="s">
        <v>644</v>
      </c>
      <c r="D10" s="2" t="s">
        <v>645</v>
      </c>
    </row>
    <row r="11" customFormat="false" ht="39.55" hidden="false" customHeight="false" outlineLevel="0" collapsed="false">
      <c r="A11" s="3" t="s">
        <v>646</v>
      </c>
      <c r="B11" s="2" t="s">
        <v>647</v>
      </c>
      <c r="C11" s="2" t="s">
        <v>648</v>
      </c>
      <c r="D11" s="2" t="s">
        <v>649</v>
      </c>
    </row>
    <row r="12" customFormat="false" ht="90.25" hidden="false" customHeight="false" outlineLevel="0" collapsed="false">
      <c r="A12" s="3" t="s">
        <v>650</v>
      </c>
      <c r="B12" s="3" t="s">
        <v>651</v>
      </c>
      <c r="C12" s="3" t="s">
        <v>652</v>
      </c>
      <c r="D12" s="2" t="s">
        <v>653</v>
      </c>
    </row>
    <row r="13" customFormat="false" ht="25.35" hidden="false" customHeight="false" outlineLevel="0" collapsed="false">
      <c r="A13" s="3" t="s">
        <v>654</v>
      </c>
      <c r="B13" s="2" t="s">
        <v>655</v>
      </c>
      <c r="C13" s="3" t="s">
        <v>656</v>
      </c>
      <c r="D13" s="2" t="s">
        <v>657</v>
      </c>
    </row>
    <row r="14" customFormat="false" ht="38.05" hidden="false" customHeight="false" outlineLevel="0" collapsed="false">
      <c r="A14" s="3" t="s">
        <v>658</v>
      </c>
      <c r="B14" s="3" t="s">
        <v>659</v>
      </c>
      <c r="C14" s="3" t="s">
        <v>660</v>
      </c>
      <c r="D14" s="2" t="s">
        <v>661</v>
      </c>
    </row>
    <row r="15" customFormat="false" ht="52.2" hidden="false" customHeight="false" outlineLevel="0" collapsed="false">
      <c r="A15" s="3" t="s">
        <v>662</v>
      </c>
      <c r="B15" s="2" t="s">
        <v>663</v>
      </c>
      <c r="C15" s="3" t="s">
        <v>664</v>
      </c>
      <c r="D15" s="2" t="s">
        <v>665</v>
      </c>
    </row>
    <row r="16" customFormat="false" ht="64.9" hidden="false" customHeight="false" outlineLevel="0" collapsed="false">
      <c r="A16" s="3" t="s">
        <v>666</v>
      </c>
      <c r="B16" s="3" t="s">
        <v>667</v>
      </c>
      <c r="C16" s="2" t="s">
        <v>668</v>
      </c>
      <c r="D16" s="2" t="s">
        <v>669</v>
      </c>
    </row>
    <row r="17" customFormat="false" ht="52.2" hidden="false" customHeight="false" outlineLevel="0" collapsed="false">
      <c r="A17" s="3" t="s">
        <v>670</v>
      </c>
      <c r="B17" s="3" t="s">
        <v>671</v>
      </c>
      <c r="C17" s="3" t="s">
        <v>672</v>
      </c>
      <c r="D17" s="2" t="s">
        <v>673</v>
      </c>
    </row>
    <row r="18" customFormat="false" ht="108.2" hidden="false" customHeight="false" outlineLevel="0" collapsed="false">
      <c r="A18" s="3" t="s">
        <v>674</v>
      </c>
      <c r="B18" s="2" t="s">
        <v>675</v>
      </c>
      <c r="C18" s="3" t="s">
        <v>676</v>
      </c>
      <c r="D18" s="2" t="s">
        <v>677</v>
      </c>
    </row>
    <row r="19" customFormat="false" ht="92.5" hidden="false" customHeight="false" outlineLevel="0" collapsed="false">
      <c r="A19" s="2" t="s">
        <v>678</v>
      </c>
      <c r="B19" s="2" t="s">
        <v>679</v>
      </c>
      <c r="C19" s="3" t="s">
        <v>680</v>
      </c>
      <c r="D19" s="2" t="s">
        <v>681</v>
      </c>
    </row>
    <row r="20" customFormat="false" ht="57.45" hidden="false" customHeight="false" outlineLevel="0" collapsed="false">
      <c r="A20" s="2" t="s">
        <v>682</v>
      </c>
      <c r="B20" s="2" t="s">
        <v>683</v>
      </c>
      <c r="C20" s="3" t="s">
        <v>680</v>
      </c>
      <c r="D20" s="2" t="s">
        <v>684</v>
      </c>
    </row>
    <row r="21" customFormat="false" ht="50.7" hidden="false" customHeight="false" outlineLevel="0" collapsed="false">
      <c r="A21" s="2" t="s">
        <v>685</v>
      </c>
      <c r="B21" s="2" t="s">
        <v>686</v>
      </c>
      <c r="C21" s="3" t="s">
        <v>687</v>
      </c>
      <c r="D21" s="2" t="s">
        <v>688</v>
      </c>
    </row>
    <row r="22" customFormat="false" ht="39.55" hidden="false" customHeight="false" outlineLevel="0" collapsed="false">
      <c r="A22" s="2" t="s">
        <v>689</v>
      </c>
      <c r="B22" s="2" t="s">
        <v>690</v>
      </c>
      <c r="C22" s="3" t="s">
        <v>652</v>
      </c>
      <c r="D22" s="2" t="s">
        <v>691</v>
      </c>
    </row>
    <row r="23" customFormat="false" ht="52.2" hidden="false" customHeight="false" outlineLevel="0" collapsed="false">
      <c r="A23" s="2" t="s">
        <v>692</v>
      </c>
      <c r="B23" s="3" t="s">
        <v>693</v>
      </c>
      <c r="C23" s="3" t="s">
        <v>694</v>
      </c>
      <c r="D23" s="2" t="s">
        <v>695</v>
      </c>
    </row>
    <row r="24" customFormat="false" ht="52.2" hidden="false" customHeight="false" outlineLevel="0" collapsed="false">
      <c r="A24" s="2" t="s">
        <v>696</v>
      </c>
      <c r="B24" s="2" t="s">
        <v>697</v>
      </c>
      <c r="C24" s="2" t="s">
        <v>698</v>
      </c>
      <c r="D24" s="2" t="s">
        <v>699</v>
      </c>
    </row>
    <row r="25" customFormat="false" ht="39.55" hidden="false" customHeight="false" outlineLevel="0" collapsed="false">
      <c r="A25" s="2" t="s">
        <v>700</v>
      </c>
      <c r="B25" s="2" t="s">
        <v>701</v>
      </c>
      <c r="C25" s="3" t="s">
        <v>694</v>
      </c>
      <c r="D25" s="2" t="s">
        <v>702</v>
      </c>
    </row>
    <row r="26" customFormat="false" ht="50.7" hidden="false" customHeight="false" outlineLevel="0" collapsed="false">
      <c r="A26" s="2" t="s">
        <v>703</v>
      </c>
      <c r="B26" s="2" t="s">
        <v>704</v>
      </c>
      <c r="C26" s="2" t="s">
        <v>705</v>
      </c>
      <c r="D26" s="2" t="s">
        <v>706</v>
      </c>
    </row>
    <row r="27" customFormat="false" ht="26.85" hidden="false" customHeight="false" outlineLevel="0" collapsed="false">
      <c r="A27" s="2" t="s">
        <v>707</v>
      </c>
      <c r="B27" s="2" t="s">
        <v>708</v>
      </c>
      <c r="C27" s="2" t="s">
        <v>709</v>
      </c>
      <c r="D27" s="2" t="s">
        <v>710</v>
      </c>
    </row>
    <row r="28" customFormat="false" ht="64.9" hidden="false" customHeight="false" outlineLevel="0" collapsed="false">
      <c r="A28" s="2" t="s">
        <v>711</v>
      </c>
      <c r="B28" s="2" t="s">
        <v>712</v>
      </c>
      <c r="C28" s="3" t="s">
        <v>694</v>
      </c>
      <c r="D28" s="2" t="s">
        <v>713</v>
      </c>
    </row>
    <row r="29" customFormat="false" ht="76.1" hidden="false" customHeight="false" outlineLevel="0" collapsed="false">
      <c r="A29" s="2" t="s">
        <v>714</v>
      </c>
      <c r="B29" s="3" t="s">
        <v>715</v>
      </c>
      <c r="C29" s="2" t="s">
        <v>716</v>
      </c>
      <c r="D29" s="2" t="s">
        <v>717</v>
      </c>
    </row>
    <row r="30" customFormat="false" ht="39.55" hidden="false" customHeight="false" outlineLevel="0" collapsed="false">
      <c r="A30" s="2" t="s">
        <v>718</v>
      </c>
      <c r="B30" s="3" t="s">
        <v>719</v>
      </c>
      <c r="C30" s="2" t="s">
        <v>720</v>
      </c>
      <c r="D30" s="2" t="s">
        <v>721</v>
      </c>
    </row>
    <row r="31" customFormat="false" ht="63.4" hidden="false" customHeight="false" outlineLevel="0" collapsed="false">
      <c r="A31" s="2" t="s">
        <v>722</v>
      </c>
      <c r="B31" s="2" t="s">
        <v>723</v>
      </c>
      <c r="C31" s="3" t="s">
        <v>724</v>
      </c>
      <c r="D31" s="2" t="s">
        <v>725</v>
      </c>
    </row>
    <row r="32" customFormat="false" ht="52.2" hidden="false" customHeight="false" outlineLevel="0" collapsed="false">
      <c r="A32" s="2" t="s">
        <v>726</v>
      </c>
      <c r="B32" s="3" t="s">
        <v>727</v>
      </c>
      <c r="C32" s="3" t="s">
        <v>728</v>
      </c>
      <c r="D32" s="2" t="s">
        <v>729</v>
      </c>
    </row>
    <row r="33" customFormat="false" ht="63.4" hidden="false" customHeight="false" outlineLevel="0" collapsed="false">
      <c r="A33" s="3" t="s">
        <v>730</v>
      </c>
      <c r="B33" s="2" t="s">
        <v>731</v>
      </c>
      <c r="C33" s="3" t="s">
        <v>732</v>
      </c>
      <c r="D33" s="2" t="s">
        <v>733</v>
      </c>
    </row>
    <row r="34" customFormat="false" ht="39.55" hidden="false" customHeight="false" outlineLevel="0" collapsed="false">
      <c r="A34" s="2" t="s">
        <v>734</v>
      </c>
      <c r="B34" s="3" t="s">
        <v>735</v>
      </c>
      <c r="C34" s="3" t="s">
        <v>736</v>
      </c>
      <c r="D34" s="2" t="s">
        <v>737</v>
      </c>
    </row>
    <row r="35" customFormat="false" ht="26.85" hidden="false" customHeight="false" outlineLevel="0" collapsed="false">
      <c r="A35" s="3" t="s">
        <v>738</v>
      </c>
      <c r="B35" s="3" t="s">
        <v>739</v>
      </c>
      <c r="C35" s="3" t="s">
        <v>694</v>
      </c>
      <c r="D35" s="2" t="s">
        <v>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2026-10-08T09:39:20Z</dcterms:created>
  <dc:creator>openpyxl</dc:creator>
  <dc:description/>
  <dc:language>en-US</dc:language>
  <cp:lastModifiedBy/>
  <dcterms:modified xsi:type="dcterms:W3CDTF">2026-10-08T09:39:20Z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